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DE\EXCELCNV\7726dd9c-0849-4b9e-aad5-a3ca84fea186\"/>
    </mc:Choice>
  </mc:AlternateContent>
  <xr:revisionPtr revIDLastSave="0" documentId="8_{E09C3847-2F33-4B42-93B1-398D08C46058}" xr6:coauthVersionLast="47" xr6:coauthVersionMax="47" xr10:uidLastSave="{00000000-0000-0000-0000-000000000000}"/>
  <bookViews>
    <workbookView xWindow="-60" yWindow="-60" windowWidth="15480" windowHeight="11640" xr2:uid="{120E96E8-D1D6-4ADB-A0C7-2BF95803D95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 a="1"/>
  <c r="F15" i="1"/>
  <c r="F2" i="1" a="1"/>
  <c r="F2" i="1"/>
  <c r="F3" i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/>
  <c r="F382" i="1" a="1"/>
  <c r="F382" i="1"/>
  <c r="F383" i="1" a="1"/>
  <c r="F383" i="1"/>
  <c r="F384" i="1" a="1"/>
  <c r="F384" i="1"/>
  <c r="F385" i="1" a="1"/>
  <c r="F385" i="1"/>
  <c r="F386" i="1" a="1"/>
  <c r="F386" i="1"/>
  <c r="F387" i="1" a="1"/>
  <c r="F387" i="1"/>
  <c r="F388" i="1" a="1"/>
  <c r="F388" i="1"/>
  <c r="F389" i="1" a="1"/>
  <c r="F389" i="1"/>
  <c r="F390" i="1" a="1"/>
  <c r="F390" i="1"/>
  <c r="F391" i="1" a="1"/>
  <c r="F391" i="1"/>
  <c r="F392" i="1" a="1"/>
  <c r="F392" i="1"/>
  <c r="F393" i="1" a="1"/>
  <c r="F393" i="1"/>
  <c r="F394" i="1" a="1"/>
  <c r="F394" i="1"/>
  <c r="F395" i="1" a="1"/>
  <c r="F395" i="1"/>
  <c r="F396" i="1" a="1"/>
  <c r="F396" i="1"/>
  <c r="F397" i="1" a="1"/>
  <c r="F397" i="1"/>
  <c r="F398" i="1" a="1"/>
  <c r="F398" i="1"/>
  <c r="F399" i="1" a="1"/>
  <c r="F399" i="1"/>
  <c r="F400" i="1" a="1"/>
  <c r="F400" i="1"/>
  <c r="F401" i="1" a="1"/>
  <c r="F401" i="1"/>
  <c r="F402" i="1" a="1"/>
  <c r="F402" i="1"/>
  <c r="F403" i="1" a="1"/>
  <c r="F403" i="1"/>
  <c r="F404" i="1" a="1"/>
  <c r="F404" i="1"/>
  <c r="F405" i="1" a="1"/>
  <c r="F405" i="1"/>
  <c r="F406" i="1" a="1"/>
  <c r="F406" i="1"/>
  <c r="F407" i="1" a="1"/>
  <c r="F407" i="1"/>
  <c r="F408" i="1" a="1"/>
  <c r="F408" i="1"/>
  <c r="F409" i="1" a="1"/>
  <c r="F409" i="1"/>
  <c r="F410" i="1" a="1"/>
  <c r="F410" i="1"/>
  <c r="F411" i="1" a="1"/>
  <c r="F411" i="1"/>
  <c r="F412" i="1" a="1"/>
  <c r="F412" i="1"/>
  <c r="F413" i="1" a="1"/>
  <c r="F413" i="1"/>
  <c r="F414" i="1" a="1"/>
  <c r="F414" i="1"/>
  <c r="F415" i="1" a="1"/>
  <c r="F415" i="1"/>
  <c r="F416" i="1" a="1"/>
  <c r="F416" i="1"/>
  <c r="F417" i="1" a="1"/>
  <c r="F417" i="1"/>
  <c r="F418" i="1" a="1"/>
  <c r="F418" i="1"/>
  <c r="F419" i="1" a="1"/>
  <c r="F419" i="1"/>
  <c r="F420" i="1" a="1"/>
  <c r="F420" i="1"/>
  <c r="F421" i="1" a="1"/>
  <c r="F421" i="1"/>
  <c r="F422" i="1" a="1"/>
  <c r="F422" i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/>
  <c r="F456" i="1" a="1"/>
  <c r="F456" i="1"/>
  <c r="F457" i="1" a="1"/>
  <c r="F457" i="1"/>
  <c r="F458" i="1" a="1"/>
  <c r="F458" i="1"/>
  <c r="F459" i="1" a="1"/>
  <c r="F459" i="1"/>
  <c r="F460" i="1" a="1"/>
  <c r="F460" i="1"/>
  <c r="F461" i="1" a="1"/>
  <c r="F461" i="1"/>
  <c r="F462" i="1" a="1"/>
  <c r="F462" i="1"/>
  <c r="F463" i="1" a="1"/>
  <c r="F463" i="1"/>
  <c r="F464" i="1" a="1"/>
  <c r="F464" i="1"/>
  <c r="F465" i="1" a="1"/>
  <c r="F465" i="1"/>
  <c r="F466" i="1" a="1"/>
  <c r="F466" i="1"/>
  <c r="F467" i="1" a="1"/>
  <c r="F467" i="1"/>
  <c r="F468" i="1" a="1"/>
  <c r="F468" i="1"/>
  <c r="F469" i="1" a="1"/>
  <c r="F469" i="1"/>
  <c r="F470" i="1" a="1"/>
  <c r="F470" i="1"/>
  <c r="F471" i="1" a="1"/>
  <c r="F471" i="1"/>
  <c r="F472" i="1" a="1"/>
  <c r="F472" i="1"/>
  <c r="F473" i="1" a="1"/>
  <c r="F473" i="1"/>
  <c r="F474" i="1" a="1"/>
  <c r="F474" i="1"/>
  <c r="F475" i="1" a="1"/>
  <c r="F475" i="1"/>
  <c r="F476" i="1" a="1"/>
  <c r="F476" i="1"/>
  <c r="F477" i="1" a="1"/>
  <c r="F477" i="1"/>
  <c r="F478" i="1" a="1"/>
  <c r="F478" i="1"/>
  <c r="F479" i="1" a="1"/>
  <c r="F479" i="1"/>
  <c r="F480" i="1" a="1"/>
  <c r="F480" i="1"/>
  <c r="F481" i="1" a="1"/>
  <c r="F481" i="1"/>
  <c r="F482" i="1" a="1"/>
  <c r="F482" i="1"/>
  <c r="F483" i="1" a="1"/>
  <c r="F483" i="1"/>
  <c r="F484" i="1" a="1"/>
  <c r="F484" i="1"/>
  <c r="F485" i="1" a="1"/>
  <c r="F485" i="1"/>
  <c r="F486" i="1" a="1"/>
  <c r="F486" i="1"/>
  <c r="F487" i="1" a="1"/>
  <c r="F487" i="1"/>
  <c r="F488" i="1" a="1"/>
  <c r="F488" i="1"/>
  <c r="F489" i="1" a="1"/>
  <c r="F489" i="1"/>
  <c r="F490" i="1" a="1"/>
  <c r="F490" i="1"/>
  <c r="F491" i="1" a="1"/>
  <c r="F491" i="1"/>
  <c r="F492" i="1" a="1"/>
  <c r="F492" i="1"/>
  <c r="F493" i="1" a="1"/>
  <c r="F493" i="1"/>
  <c r="F494" i="1" a="1"/>
  <c r="F494" i="1"/>
  <c r="F495" i="1" a="1"/>
  <c r="F495" i="1"/>
  <c r="F496" i="1" a="1"/>
  <c r="F496" i="1"/>
  <c r="F497" i="1" a="1"/>
  <c r="F497" i="1"/>
  <c r="F498" i="1" a="1"/>
  <c r="F498" i="1"/>
  <c r="F499" i="1" a="1"/>
  <c r="F499" i="1"/>
  <c r="F500" i="1" a="1"/>
  <c r="F500" i="1"/>
  <c r="F501" i="1" a="1"/>
  <c r="F5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<sst xmlns="http://schemas.openxmlformats.org/spreadsheetml/2006/main" count="2517" uniqueCount="51">
  <si>
    <t>transaction_id</t>
  </si>
  <si>
    <t>date</t>
  </si>
  <si>
    <t>customer_id</t>
  </si>
  <si>
    <t>gender</t>
  </si>
  <si>
    <t>age</t>
  </si>
  <si>
    <t>age_group</t>
  </si>
  <si>
    <t>category</t>
  </si>
  <si>
    <t>product</t>
  </si>
  <si>
    <t>price</t>
  </si>
  <si>
    <t>quantity</t>
  </si>
  <si>
    <t>revenue</t>
  </si>
  <si>
    <t>payment_method</t>
  </si>
  <si>
    <t>returned</t>
  </si>
  <si>
    <t>customer_loyalty_years</t>
  </si>
  <si>
    <t>M</t>
  </si>
  <si>
    <t>Electronics</t>
  </si>
  <si>
    <t>Headphones</t>
  </si>
  <si>
    <t>Card</t>
  </si>
  <si>
    <t>No</t>
  </si>
  <si>
    <t>F</t>
  </si>
  <si>
    <t>Clothing</t>
  </si>
  <si>
    <t>Jeans</t>
  </si>
  <si>
    <t>UPI</t>
  </si>
  <si>
    <t>Home</t>
  </si>
  <si>
    <t>Lamp</t>
  </si>
  <si>
    <t>Cash</t>
  </si>
  <si>
    <t>Yes</t>
  </si>
  <si>
    <t>Unknown</t>
  </si>
  <si>
    <t>Beauty</t>
  </si>
  <si>
    <t>Serum</t>
  </si>
  <si>
    <t>Phone Case</t>
  </si>
  <si>
    <t>Gift Card</t>
  </si>
  <si>
    <t>Sweater</t>
  </si>
  <si>
    <t>Blanket</t>
  </si>
  <si>
    <t>Charger</t>
  </si>
  <si>
    <t>Lipstick</t>
  </si>
  <si>
    <t>Shoes</t>
  </si>
  <si>
    <t>Pillow</t>
  </si>
  <si>
    <t>Keyboard</t>
  </si>
  <si>
    <t>Nail Polish</t>
  </si>
  <si>
    <t>Jacket</t>
  </si>
  <si>
    <t>Microwave</t>
  </si>
  <si>
    <t>Monitor</t>
  </si>
  <si>
    <t>Shampoo</t>
  </si>
  <si>
    <t>Socks</t>
  </si>
  <si>
    <t>Rug</t>
  </si>
  <si>
    <t>Speaker</t>
  </si>
  <si>
    <t>Hat</t>
  </si>
  <si>
    <t>Mouse</t>
  </si>
  <si>
    <t>Clock</t>
  </si>
  <si>
    <t>Face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</si>
</sst>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D61-F98B-40F0-82F0-54732DB8858E}">
  <dimension ref="A1:N501"/>
  <sheetViews>
    <sheetView tabSelected="1" workbookViewId="0">
      <pane ySplit="1" topLeftCell="A5" activePane="bottomLeft" state="frozen"/>
      <selection pane="bottomLeft" activeCell="B197" sqref="B197"/>
    </sheetView>
  </sheetViews>
  <sheetFormatPr defaultRowHeight="15"/>
  <cols>
    <col min="1" max="1" width="13.28515625" customWidth="1"/>
    <col min="2" max="2" width="19" customWidth="1"/>
    <col min="3" max="3" width="13.42578125" customWidth="1"/>
    <col min="5" max="5" width="8.85546875" customWidth="1"/>
    <col min="6" max="6" width="13.28515625" customWidth="1"/>
    <col min="7" max="7" width="13.42578125" customWidth="1"/>
    <col min="8" max="8" width="13.140625" customWidth="1"/>
    <col min="9" max="9" width="11.28515625" style="2" customWidth="1"/>
    <col min="10" max="10" width="11" customWidth="1"/>
    <col min="11" max="11" width="12.7109375" style="2" customWidth="1"/>
    <col min="12" max="12" width="17.42578125" customWidth="1"/>
    <col min="13" max="13" width="13.5703125" customWidth="1"/>
    <col min="14" max="14" width="21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1">
        <v>44941</v>
      </c>
      <c r="C2">
        <v>142</v>
      </c>
      <c r="D2" t="s">
        <v>14</v>
      </c>
      <c r="E2">
        <v>34</v>
      </c>
      <c r="F2" t="str" cm="1">
        <f t="array" ref="F2">_xlfn.IFS(E2&lt;18, "0-17",
     E2&lt;25, "18-24",
     E2&lt;35, "25-34",
     E2&lt;45, "35-44",
     E2&lt;55, "45-54",
     E2&lt;65, "55-64",
     TRUE, "65+")</f>
        <v>25-34</v>
      </c>
      <c r="G2" t="s">
        <v>15</v>
      </c>
      <c r="H2" t="s">
        <v>16</v>
      </c>
      <c r="I2" s="2">
        <v>49.99</v>
      </c>
      <c r="J2">
        <v>2</v>
      </c>
      <c r="K2" s="2">
        <v>99.98</v>
      </c>
      <c r="L2" t="s">
        <v>17</v>
      </c>
      <c r="M2" t="s">
        <v>18</v>
      </c>
      <c r="N2">
        <v>1.2</v>
      </c>
    </row>
    <row r="3" spans="1:14">
      <c r="A3">
        <v>2</v>
      </c>
      <c r="B3" s="1">
        <v>44944</v>
      </c>
      <c r="C3">
        <v>187</v>
      </c>
      <c r="D3" t="s">
        <v>19</v>
      </c>
      <c r="E3">
        <v>28</v>
      </c>
      <c r="F3" t="str" cm="1">
        <f t="array" ref="F3">_xlfn.IFS(E3&lt;18, "0-17",
     E3&lt;25, "18-24",
     E3&lt;35, "25-34",
     E3&lt;45, "35-44",
     E3&lt;55, "45-54",
     E3&lt;65, "55-64",
     TRUE, "65+")</f>
        <v>25-34</v>
      </c>
      <c r="G3" t="s">
        <v>20</v>
      </c>
      <c r="H3" t="s">
        <v>21</v>
      </c>
      <c r="I3" s="2">
        <v>39.99</v>
      </c>
      <c r="J3">
        <v>1</v>
      </c>
      <c r="K3" s="2">
        <v>39.99</v>
      </c>
      <c r="L3" t="s">
        <v>22</v>
      </c>
      <c r="M3" t="s">
        <v>18</v>
      </c>
      <c r="N3">
        <v>0.5</v>
      </c>
    </row>
    <row r="4" spans="1:14">
      <c r="A4">
        <v>3</v>
      </c>
      <c r="B4" s="1">
        <v>44948</v>
      </c>
      <c r="C4">
        <v>153</v>
      </c>
      <c r="D4" t="s">
        <v>14</v>
      </c>
      <c r="E4">
        <v>39</v>
      </c>
      <c r="F4" t="str" cm="1">
        <f t="array" ref="F4">_xlfn.IFS(E4&lt;18, "0-17",
     E4&lt;25, "18-24",
     E4&lt;35, "25-34",
     E4&lt;45, "35-44",
     E4&lt;55, "45-54",
     E4&lt;65, "55-64",
     TRUE, "65+")</f>
        <v>35-44</v>
      </c>
      <c r="G4" t="s">
        <v>23</v>
      </c>
      <c r="H4" t="s">
        <v>24</v>
      </c>
      <c r="I4" s="2">
        <v>24.5</v>
      </c>
      <c r="J4">
        <v>3</v>
      </c>
      <c r="K4" s="2">
        <v>73.5</v>
      </c>
      <c r="L4" t="s">
        <v>25</v>
      </c>
      <c r="M4" t="s">
        <v>26</v>
      </c>
      <c r="N4" t="s">
        <v>27</v>
      </c>
    </row>
    <row r="5" spans="1:14">
      <c r="A5">
        <v>4</v>
      </c>
      <c r="B5" s="1">
        <v>44951</v>
      </c>
      <c r="C5">
        <v>155</v>
      </c>
      <c r="D5" t="s">
        <v>19</v>
      </c>
      <c r="E5">
        <v>45</v>
      </c>
      <c r="F5" t="str" cm="1">
        <f t="array" ref="F5">_xlfn.IFS(E5&lt;18, "0-17",
     E5&lt;25, "18-24",
     E5&lt;35, "25-34",
     E5&lt;45, "35-44",
     E5&lt;55, "45-54",
     E5&lt;65, "55-64",
     TRUE, "65+")</f>
        <v>45-54</v>
      </c>
      <c r="G5" t="s">
        <v>28</v>
      </c>
      <c r="H5" t="s">
        <v>29</v>
      </c>
      <c r="I5" s="2">
        <v>29.99</v>
      </c>
      <c r="J5">
        <v>1</v>
      </c>
      <c r="K5" s="2">
        <v>29.99</v>
      </c>
      <c r="L5" t="s">
        <v>17</v>
      </c>
      <c r="M5" t="s">
        <v>18</v>
      </c>
      <c r="N5">
        <v>3.4</v>
      </c>
    </row>
    <row r="6" spans="1:14">
      <c r="A6">
        <v>5</v>
      </c>
      <c r="B6" s="1">
        <v>44954</v>
      </c>
      <c r="C6">
        <v>104</v>
      </c>
      <c r="D6" t="s">
        <v>14</v>
      </c>
      <c r="E6">
        <v>51</v>
      </c>
      <c r="F6" t="str" cm="1">
        <f t="array" ref="F6">_xlfn.IFS(E6&lt;18, "0-17",
     E6&lt;25, "18-24",
     E6&lt;35, "25-34",
     E6&lt;45, "35-44",
     E6&lt;55, "45-54",
     E6&lt;65, "55-64",
     TRUE, "65+")</f>
        <v>45-54</v>
      </c>
      <c r="G6" t="s">
        <v>15</v>
      </c>
      <c r="H6" t="s">
        <v>30</v>
      </c>
      <c r="I6" s="2">
        <v>12.99</v>
      </c>
      <c r="J6">
        <v>2</v>
      </c>
      <c r="K6" s="2">
        <v>25.98</v>
      </c>
      <c r="L6" t="s">
        <v>31</v>
      </c>
      <c r="M6" t="s">
        <v>18</v>
      </c>
      <c r="N6">
        <v>5.0999999999999996</v>
      </c>
    </row>
    <row r="7" spans="1:14">
      <c r="A7">
        <v>6</v>
      </c>
      <c r="B7" s="1">
        <v>44956</v>
      </c>
      <c r="C7">
        <v>128</v>
      </c>
      <c r="D7" t="s">
        <v>19</v>
      </c>
      <c r="E7">
        <v>23</v>
      </c>
      <c r="F7" t="str" cm="1">
        <f t="array" ref="F7">_xlfn.IFS(E7&lt;18, "0-17",
     E7&lt;25, "18-24",
     E7&lt;35, "25-34",
     E7&lt;45, "35-44",
     E7&lt;55, "45-54",
     E7&lt;65, "55-64",
     TRUE, "65+")</f>
        <v>18-24</v>
      </c>
      <c r="G7" t="s">
        <v>20</v>
      </c>
      <c r="H7" t="s">
        <v>32</v>
      </c>
      <c r="I7" s="2">
        <v>54.99</v>
      </c>
      <c r="J7">
        <v>1</v>
      </c>
      <c r="K7" s="2">
        <v>54.99</v>
      </c>
      <c r="L7" t="s">
        <v>22</v>
      </c>
      <c r="M7" t="s">
        <v>18</v>
      </c>
      <c r="N7">
        <v>0.1</v>
      </c>
    </row>
    <row r="8" spans="1:14">
      <c r="A8">
        <v>7</v>
      </c>
      <c r="B8" s="1">
        <v>44959</v>
      </c>
      <c r="C8">
        <v>121</v>
      </c>
      <c r="D8" t="s">
        <v>19</v>
      </c>
      <c r="E8">
        <v>62</v>
      </c>
      <c r="F8" t="str" cm="1">
        <f t="array" ref="F8">_xlfn.IFS(E8&lt;18, "0-17",
     E8&lt;25, "18-24",
     E8&lt;35, "25-34",
     E8&lt;45, "35-44",
     E8&lt;55, "45-54",
     E8&lt;65, "55-64",
     TRUE, "65+")</f>
        <v>55-64</v>
      </c>
      <c r="G8" t="s">
        <v>23</v>
      </c>
      <c r="H8" t="s">
        <v>33</v>
      </c>
      <c r="I8" s="2">
        <v>39.99</v>
      </c>
      <c r="J8">
        <v>2</v>
      </c>
      <c r="K8" s="2">
        <v>79.98</v>
      </c>
      <c r="L8" t="s">
        <v>17</v>
      </c>
      <c r="M8" t="s">
        <v>26</v>
      </c>
      <c r="N8">
        <v>1.2</v>
      </c>
    </row>
    <row r="9" spans="1:14">
      <c r="A9">
        <v>8</v>
      </c>
      <c r="B9" s="1">
        <v>44962</v>
      </c>
      <c r="C9">
        <v>176</v>
      </c>
      <c r="D9" t="s">
        <v>14</v>
      </c>
      <c r="E9">
        <v>36</v>
      </c>
      <c r="F9" t="str" cm="1">
        <f t="array" ref="F9">_xlfn.IFS(E9&lt;18, "0-17",
     E9&lt;25, "18-24",
     E9&lt;35, "25-34",
     E9&lt;45, "35-44",
     E9&lt;55, "45-54",
     E9&lt;65, "55-64",
     TRUE, "65+")</f>
        <v>35-44</v>
      </c>
      <c r="G9" t="s">
        <v>15</v>
      </c>
      <c r="H9" t="s">
        <v>34</v>
      </c>
      <c r="I9" s="2">
        <v>19.989999999999998</v>
      </c>
      <c r="J9">
        <v>1</v>
      </c>
      <c r="K9" s="2">
        <v>19.989999999999998</v>
      </c>
      <c r="L9" t="s">
        <v>25</v>
      </c>
      <c r="M9" t="s">
        <v>18</v>
      </c>
      <c r="N9" t="s">
        <v>27</v>
      </c>
    </row>
    <row r="10" spans="1:14">
      <c r="A10">
        <v>9</v>
      </c>
      <c r="B10" s="1">
        <v>44965</v>
      </c>
      <c r="C10">
        <v>184</v>
      </c>
      <c r="D10" t="s">
        <v>19</v>
      </c>
      <c r="E10">
        <v>35</v>
      </c>
      <c r="F10" t="str" cm="1">
        <f t="array" ref="F10">_xlfn.IFS(E10&lt;18, "0-17",
     E10&lt;25, "18-24",
     E10&lt;35, "25-34",
     E10&lt;45, "35-44",
     E10&lt;55, "45-54",
     E10&lt;65, "55-64",
     TRUE, "65+")</f>
        <v>35-44</v>
      </c>
      <c r="G10" t="s">
        <v>28</v>
      </c>
      <c r="H10" t="s">
        <v>35</v>
      </c>
      <c r="I10" s="2">
        <v>15.5</v>
      </c>
      <c r="J10">
        <v>3</v>
      </c>
      <c r="K10" s="2">
        <v>46.5</v>
      </c>
      <c r="L10" t="s">
        <v>17</v>
      </c>
      <c r="M10" t="s">
        <v>18</v>
      </c>
      <c r="N10">
        <v>2</v>
      </c>
    </row>
    <row r="11" spans="1:14">
      <c r="A11">
        <v>10</v>
      </c>
      <c r="B11" s="1">
        <v>44967</v>
      </c>
      <c r="C11">
        <v>110</v>
      </c>
      <c r="D11" t="s">
        <v>14</v>
      </c>
      <c r="E11">
        <v>44</v>
      </c>
      <c r="F11" t="str" cm="1">
        <f t="array" ref="F11">_xlfn.IFS(E11&lt;18, "0-17",
     E11&lt;25, "18-24",
     E11&lt;35, "25-34",
     E11&lt;45, "35-44",
     E11&lt;55, "45-54",
     E11&lt;65, "55-64",
     TRUE, "65+")</f>
        <v>35-44</v>
      </c>
      <c r="G11" t="s">
        <v>20</v>
      </c>
      <c r="H11" t="s">
        <v>36</v>
      </c>
      <c r="I11" s="2">
        <v>69.989999999999995</v>
      </c>
      <c r="J11">
        <v>1</v>
      </c>
      <c r="K11" s="2">
        <v>69.989999999999995</v>
      </c>
      <c r="L11" t="s">
        <v>22</v>
      </c>
      <c r="M11" t="s">
        <v>26</v>
      </c>
      <c r="N11">
        <v>4.3</v>
      </c>
    </row>
    <row r="12" spans="1:14">
      <c r="A12">
        <v>11</v>
      </c>
      <c r="B12" s="1">
        <v>44969</v>
      </c>
      <c r="C12">
        <v>137</v>
      </c>
      <c r="D12" t="s">
        <v>19</v>
      </c>
      <c r="E12">
        <v>29</v>
      </c>
      <c r="F12" t="str" cm="1">
        <f t="array" ref="F12">_xlfn.IFS(E12&lt;18, "0-17",
     E12&lt;25, "18-24",
     E12&lt;35, "25-34",
     E12&lt;45, "35-44",
     E12&lt;55, "45-54",
     E12&lt;65, "55-64",
     TRUE, "65+")</f>
        <v>25-34</v>
      </c>
      <c r="G12" t="s">
        <v>23</v>
      </c>
      <c r="H12" t="s">
        <v>37</v>
      </c>
      <c r="I12" s="2">
        <v>18.989999999999998</v>
      </c>
      <c r="J12">
        <v>4</v>
      </c>
      <c r="K12" s="2">
        <v>75.959999999999994</v>
      </c>
      <c r="L12" t="s">
        <v>17</v>
      </c>
      <c r="M12" t="s">
        <v>18</v>
      </c>
      <c r="N12">
        <v>0.8</v>
      </c>
    </row>
    <row r="13" spans="1:14">
      <c r="A13">
        <v>12</v>
      </c>
      <c r="B13" s="1">
        <v>44972</v>
      </c>
      <c r="C13">
        <v>192</v>
      </c>
      <c r="D13" t="s">
        <v>14</v>
      </c>
      <c r="E13">
        <v>57</v>
      </c>
      <c r="F13" t="str" cm="1">
        <f t="array" ref="F13">_xlfn.IFS(E13&lt;18, "0-17",
     E13&lt;25, "18-24",
     E13&lt;35, "25-34",
     E13&lt;45, "35-44",
     E13&lt;55, "45-54",
     E13&lt;65, "55-64",
     TRUE, "65+")</f>
        <v>55-64</v>
      </c>
      <c r="G13" t="s">
        <v>15</v>
      </c>
      <c r="H13" t="s">
        <v>38</v>
      </c>
      <c r="I13" s="2">
        <v>89.99</v>
      </c>
      <c r="J13">
        <v>1</v>
      </c>
      <c r="K13" s="2">
        <v>89.99</v>
      </c>
      <c r="L13" t="s">
        <v>31</v>
      </c>
      <c r="M13" t="s">
        <v>18</v>
      </c>
      <c r="N13">
        <v>7.2</v>
      </c>
    </row>
    <row r="14" spans="1:14">
      <c r="A14">
        <v>13</v>
      </c>
      <c r="B14" s="1">
        <v>44975</v>
      </c>
      <c r="C14">
        <v>196</v>
      </c>
      <c r="D14" t="s">
        <v>19</v>
      </c>
      <c r="E14">
        <v>19</v>
      </c>
      <c r="F14" t="str" cm="1">
        <f t="array" ref="F14">_xlfn.IFS(E14&lt;18, "0-17",
     E14&lt;25, "18-24",
     E14&lt;35, "25-34",
     E14&lt;45, "35-44",
     E14&lt;55, "45-54",
     E14&lt;65, "55-64",
     TRUE, "65+")</f>
        <v>18-24</v>
      </c>
      <c r="G14" t="s">
        <v>28</v>
      </c>
      <c r="H14" t="s">
        <v>39</v>
      </c>
      <c r="I14" s="2">
        <v>8.99</v>
      </c>
      <c r="J14">
        <v>2</v>
      </c>
      <c r="K14" s="2">
        <v>17.98</v>
      </c>
      <c r="L14" t="s">
        <v>25</v>
      </c>
      <c r="M14" t="s">
        <v>18</v>
      </c>
      <c r="N14">
        <v>0</v>
      </c>
    </row>
    <row r="15" spans="1:14">
      <c r="A15">
        <v>14</v>
      </c>
      <c r="B15" s="1">
        <v>44977</v>
      </c>
      <c r="C15">
        <v>199</v>
      </c>
      <c r="D15" t="s">
        <v>14</v>
      </c>
      <c r="E15">
        <v>48</v>
      </c>
      <c r="F15" t="str" cm="1">
        <f t="array" ref="F15">_xlfn.IFS(E15&lt;18, "0-17",
     E15&lt;25, "18-24",
     E15&lt;35, "25-34",
     E15&lt;45, "35-44",
     E15&lt;55, "45-54",
     E15&lt;65, "55-64",
     TRUE, "65+")</f>
        <v>45-54</v>
      </c>
      <c r="G15" t="s">
        <v>20</v>
      </c>
      <c r="H15" t="s">
        <v>40</v>
      </c>
      <c r="I15" s="2">
        <v>79.989999999999995</v>
      </c>
      <c r="J15">
        <v>1</v>
      </c>
      <c r="K15" s="2">
        <v>79.989999999999995</v>
      </c>
      <c r="L15" t="s">
        <v>17</v>
      </c>
      <c r="M15" t="s">
        <v>26</v>
      </c>
      <c r="N15" t="s">
        <v>27</v>
      </c>
    </row>
    <row r="16" spans="1:14">
      <c r="A16">
        <v>15</v>
      </c>
      <c r="B16" s="1">
        <v>44979</v>
      </c>
      <c r="C16">
        <v>176</v>
      </c>
      <c r="D16" t="s">
        <v>14</v>
      </c>
      <c r="E16">
        <v>38</v>
      </c>
      <c r="F16" t="str" cm="1">
        <f t="array" ref="F16">_xlfn.IFS(E16&lt;18, "0-17",
     E16&lt;25, "18-24",
     E16&lt;35, "25-34",
     E16&lt;45, "35-44",
     E16&lt;55, "45-54",
     E16&lt;65, "55-64",
     TRUE, "65+")</f>
        <v>35-44</v>
      </c>
      <c r="G16" t="s">
        <v>23</v>
      </c>
      <c r="H16" t="s">
        <v>41</v>
      </c>
      <c r="I16" s="2">
        <v>119.99</v>
      </c>
      <c r="J16">
        <v>1</v>
      </c>
      <c r="K16" s="2">
        <v>119.99</v>
      </c>
      <c r="L16" t="s">
        <v>22</v>
      </c>
      <c r="M16" t="s">
        <v>18</v>
      </c>
      <c r="N16">
        <v>1.5</v>
      </c>
    </row>
    <row r="17" spans="1:14">
      <c r="A17">
        <v>16</v>
      </c>
      <c r="B17" s="1">
        <v>44982</v>
      </c>
      <c r="C17">
        <v>190</v>
      </c>
      <c r="D17" t="s">
        <v>19</v>
      </c>
      <c r="E17">
        <v>41</v>
      </c>
      <c r="F17" t="str" cm="1">
        <f t="array" ref="F17">_xlfn.IFS(E17&lt;18, "0-17",
     E17&lt;25, "18-24",
     E17&lt;35, "25-34",
     E17&lt;45, "35-44",
     E17&lt;55, "45-54",
     E17&lt;65, "55-64",
     TRUE, "65+")</f>
        <v>35-44</v>
      </c>
      <c r="G17" t="s">
        <v>15</v>
      </c>
      <c r="H17" t="s">
        <v>42</v>
      </c>
      <c r="I17" s="2">
        <v>199.99</v>
      </c>
      <c r="J17">
        <v>1</v>
      </c>
      <c r="K17" s="2">
        <v>199.99</v>
      </c>
      <c r="L17" t="s">
        <v>17</v>
      </c>
      <c r="M17" t="s">
        <v>18</v>
      </c>
      <c r="N17">
        <v>2.9</v>
      </c>
    </row>
    <row r="18" spans="1:14">
      <c r="A18">
        <v>17</v>
      </c>
      <c r="B18" s="1">
        <v>44984</v>
      </c>
      <c r="C18">
        <v>118</v>
      </c>
      <c r="D18" t="s">
        <v>14</v>
      </c>
      <c r="E18">
        <v>26</v>
      </c>
      <c r="F18" t="str" cm="1">
        <f t="array" ref="F18">_xlfn.IFS(E18&lt;18, "0-17",
     E18&lt;25, "18-24",
     E18&lt;35, "25-34",
     E18&lt;45, "35-44",
     E18&lt;55, "45-54",
     E18&lt;65, "55-64",
     TRUE, "65+")</f>
        <v>25-34</v>
      </c>
      <c r="G18" t="s">
        <v>28</v>
      </c>
      <c r="H18" t="s">
        <v>43</v>
      </c>
      <c r="I18" s="2">
        <v>12.99</v>
      </c>
      <c r="J18">
        <v>2</v>
      </c>
      <c r="K18" s="2">
        <v>25.98</v>
      </c>
      <c r="L18" t="s">
        <v>17</v>
      </c>
      <c r="M18" t="s">
        <v>18</v>
      </c>
      <c r="N18">
        <v>0.3</v>
      </c>
    </row>
    <row r="19" spans="1:14">
      <c r="A19">
        <v>18</v>
      </c>
      <c r="B19" s="1">
        <v>44986</v>
      </c>
      <c r="C19">
        <v>121</v>
      </c>
      <c r="D19" t="s">
        <v>19</v>
      </c>
      <c r="E19">
        <v>32</v>
      </c>
      <c r="F19" t="str" cm="1">
        <f t="array" ref="F19">_xlfn.IFS(E19&lt;18, "0-17",
     E19&lt;25, "18-24",
     E19&lt;35, "25-34",
     E19&lt;45, "35-44",
     E19&lt;55, "45-54",
     E19&lt;65, "55-64",
     TRUE, "65+")</f>
        <v>25-34</v>
      </c>
      <c r="G19" t="s">
        <v>20</v>
      </c>
      <c r="H19" t="s">
        <v>44</v>
      </c>
      <c r="I19" s="2">
        <v>9.99</v>
      </c>
      <c r="J19">
        <v>5</v>
      </c>
      <c r="K19" s="2">
        <v>49.95</v>
      </c>
      <c r="L19" t="s">
        <v>22</v>
      </c>
      <c r="M19" t="s">
        <v>18</v>
      </c>
      <c r="N19">
        <v>1.2</v>
      </c>
    </row>
    <row r="20" spans="1:14">
      <c r="A20">
        <v>19</v>
      </c>
      <c r="B20" s="1">
        <v>44988</v>
      </c>
      <c r="C20">
        <v>148</v>
      </c>
      <c r="D20" t="s">
        <v>19</v>
      </c>
      <c r="E20">
        <v>53</v>
      </c>
      <c r="F20" t="str" cm="1">
        <f t="array" ref="F20">_xlfn.IFS(E20&lt;18, "0-17",
     E20&lt;25, "18-24",
     E20&lt;35, "25-34",
     E20&lt;45, "35-44",
     E20&lt;55, "45-54",
     E20&lt;65, "55-64",
     TRUE, "65+")</f>
        <v>45-54</v>
      </c>
      <c r="G20" t="s">
        <v>23</v>
      </c>
      <c r="H20" t="s">
        <v>45</v>
      </c>
      <c r="I20" s="2">
        <v>45</v>
      </c>
      <c r="J20">
        <v>2</v>
      </c>
      <c r="K20" s="2">
        <v>90</v>
      </c>
      <c r="L20" t="s">
        <v>25</v>
      </c>
      <c r="M20" t="s">
        <v>26</v>
      </c>
      <c r="N20">
        <v>6</v>
      </c>
    </row>
    <row r="21" spans="1:14">
      <c r="A21">
        <v>20</v>
      </c>
      <c r="B21" s="1">
        <v>44990</v>
      </c>
      <c r="C21">
        <v>108</v>
      </c>
      <c r="D21" t="s">
        <v>14</v>
      </c>
      <c r="E21">
        <v>34</v>
      </c>
      <c r="F21" t="str" cm="1">
        <f t="array" ref="F21">_xlfn.IFS(E21&lt;18, "0-17",
     E21&lt;25, "18-24",
     E21&lt;35, "25-34",
     E21&lt;45, "35-44",
     E21&lt;55, "45-54",
     E21&lt;65, "55-64",
     TRUE, "65+")</f>
        <v>25-34</v>
      </c>
      <c r="G21" t="s">
        <v>15</v>
      </c>
      <c r="H21" t="s">
        <v>46</v>
      </c>
      <c r="I21" s="2">
        <v>79.989999999999995</v>
      </c>
      <c r="J21">
        <v>1</v>
      </c>
      <c r="K21" s="2">
        <v>79.989999999999995</v>
      </c>
      <c r="L21" t="s">
        <v>17</v>
      </c>
      <c r="M21" t="s">
        <v>18</v>
      </c>
      <c r="N21">
        <v>1.8</v>
      </c>
    </row>
    <row r="22" spans="1:14">
      <c r="A22">
        <v>21</v>
      </c>
      <c r="B22" s="1">
        <v>44993</v>
      </c>
      <c r="C22">
        <v>162</v>
      </c>
      <c r="D22" t="s">
        <v>19</v>
      </c>
      <c r="E22">
        <v>29</v>
      </c>
      <c r="F22" t="str" cm="1">
        <f t="array" ref="F22">_xlfn.IFS(E22&lt;18, "0-17",
     E22&lt;25, "18-24",
     E22&lt;35, "25-34",
     E22&lt;45, "35-44",
     E22&lt;55, "45-54",
     E22&lt;65, "55-64",
     TRUE, "65+")</f>
        <v>25-34</v>
      </c>
      <c r="G22" t="s">
        <v>20</v>
      </c>
      <c r="H22" t="s">
        <v>47</v>
      </c>
      <c r="I22" s="2">
        <v>15.99</v>
      </c>
      <c r="J22">
        <v>2</v>
      </c>
      <c r="K22" s="2">
        <v>31.98</v>
      </c>
      <c r="L22" t="s">
        <v>17</v>
      </c>
      <c r="M22" t="s">
        <v>18</v>
      </c>
      <c r="N22">
        <v>0.2</v>
      </c>
    </row>
    <row r="23" spans="1:14">
      <c r="A23">
        <v>22</v>
      </c>
      <c r="B23" s="1">
        <v>44995</v>
      </c>
      <c r="C23">
        <v>141</v>
      </c>
      <c r="D23" t="s">
        <v>14</v>
      </c>
      <c r="E23">
        <v>47</v>
      </c>
      <c r="F23" t="str" cm="1">
        <f t="array" ref="F23">_xlfn.IFS(E23&lt;18, "0-17",
     E23&lt;25, "18-24",
     E23&lt;35, "25-34",
     E23&lt;45, "35-44",
     E23&lt;55, "45-54",
     E23&lt;65, "55-64",
     TRUE, "65+")</f>
        <v>45-54</v>
      </c>
      <c r="G23" t="s">
        <v>15</v>
      </c>
      <c r="H23" t="s">
        <v>48</v>
      </c>
      <c r="I23" s="2">
        <v>24.99</v>
      </c>
      <c r="J23">
        <v>1</v>
      </c>
      <c r="K23" s="2">
        <v>24.99</v>
      </c>
      <c r="L23" t="s">
        <v>22</v>
      </c>
      <c r="M23" t="s">
        <v>18</v>
      </c>
      <c r="N23">
        <v>3.5</v>
      </c>
    </row>
    <row r="24" spans="1:14">
      <c r="A24">
        <v>23</v>
      </c>
      <c r="B24" s="1">
        <v>44997</v>
      </c>
      <c r="C24">
        <v>164</v>
      </c>
      <c r="D24" t="s">
        <v>19</v>
      </c>
      <c r="E24">
        <v>55</v>
      </c>
      <c r="F24" t="str" cm="1">
        <f t="array" ref="F24">_xlfn.IFS(E24&lt;18, "0-17",
     E24&lt;25, "18-24",
     E24&lt;35, "25-34",
     E24&lt;45, "35-44",
     E24&lt;55, "45-54",
     E24&lt;65, "55-64",
     TRUE, "65+")</f>
        <v>55-64</v>
      </c>
      <c r="G24" t="s">
        <v>23</v>
      </c>
      <c r="H24" t="s">
        <v>49</v>
      </c>
      <c r="I24" s="2">
        <v>32.5</v>
      </c>
      <c r="J24">
        <v>1</v>
      </c>
      <c r="K24" s="2">
        <v>32.5</v>
      </c>
      <c r="L24" t="s">
        <v>25</v>
      </c>
      <c r="M24" t="s">
        <v>18</v>
      </c>
      <c r="N24">
        <v>5.2</v>
      </c>
    </row>
    <row r="25" spans="1:14">
      <c r="A25">
        <v>24</v>
      </c>
      <c r="B25" s="1">
        <v>45000</v>
      </c>
      <c r="C25">
        <v>115</v>
      </c>
      <c r="D25" t="s">
        <v>14</v>
      </c>
      <c r="E25">
        <v>31</v>
      </c>
      <c r="F25" t="str" cm="1">
        <f t="array" ref="F25">_xlfn.IFS(E25&lt;18, "0-17",
     E25&lt;25, "18-24",
     E25&lt;35, "25-34",
     E25&lt;45, "35-44",
     E25&lt;55, "45-54",
     E25&lt;65, "55-64",
     TRUE, "65+")</f>
        <v>25-34</v>
      </c>
      <c r="G25" t="s">
        <v>28</v>
      </c>
      <c r="H25" t="s">
        <v>50</v>
      </c>
      <c r="I25" s="2">
        <v>42.99</v>
      </c>
      <c r="J25">
        <v>1</v>
      </c>
      <c r="K25" s="2">
        <v>42.99</v>
      </c>
      <c r="L25" t="s">
        <v>17</v>
      </c>
      <c r="M25" t="s">
        <v>26</v>
      </c>
      <c r="N25">
        <v>0.7</v>
      </c>
    </row>
    <row r="26" spans="1:14">
      <c r="A26">
        <v>25</v>
      </c>
      <c r="B26" s="1">
        <v>45003</v>
      </c>
      <c r="C26">
        <v>147</v>
      </c>
      <c r="D26" t="s">
        <v>19</v>
      </c>
      <c r="E26">
        <v>62</v>
      </c>
      <c r="F26" t="str" cm="1">
        <f t="array" ref="F26">_xlfn.IFS(E26&lt;18, "0-17",
     E26&lt;25, "18-24",
     E26&lt;35, "25-34",
     E26&lt;45, "35-44",
     E26&lt;55, "45-54",
     E26&lt;65, "55-64",
     TRUE, "65+")</f>
        <v>55-64</v>
      </c>
      <c r="G26" t="s">
        <v>20</v>
      </c>
      <c r="H26" t="s">
        <v>32</v>
      </c>
      <c r="I26" s="2">
        <v>59.99</v>
      </c>
      <c r="J26">
        <v>2</v>
      </c>
      <c r="K26" s="2">
        <v>119.98</v>
      </c>
      <c r="L26" t="s">
        <v>17</v>
      </c>
      <c r="M26" t="s">
        <v>18</v>
      </c>
      <c r="N26">
        <v>4.0999999999999996</v>
      </c>
    </row>
    <row r="27" spans="1:14">
      <c r="A27">
        <v>26</v>
      </c>
      <c r="B27" s="1">
        <v>45005</v>
      </c>
      <c r="C27">
        <v>197</v>
      </c>
      <c r="D27" t="s">
        <v>14</v>
      </c>
      <c r="E27">
        <v>25</v>
      </c>
      <c r="F27" t="str" cm="1">
        <f t="array" ref="F27">_xlfn.IFS(E27&lt;18, "0-17",
     E27&lt;25, "18-24",
     E27&lt;35, "25-34",
     E27&lt;45, "35-44",
     E27&lt;55, "45-54",
     E27&lt;65, "55-64",
     TRUE, "65+")</f>
        <v>25-34</v>
      </c>
      <c r="G27" t="s">
        <v>15</v>
      </c>
      <c r="H27" t="s">
        <v>16</v>
      </c>
      <c r="I27" s="2">
        <v>49.99</v>
      </c>
      <c r="J27">
        <v>1</v>
      </c>
      <c r="K27" s="2">
        <v>49.99</v>
      </c>
      <c r="L27" t="s">
        <v>31</v>
      </c>
      <c r="M27" t="s">
        <v>18</v>
      </c>
      <c r="N27">
        <v>0</v>
      </c>
    </row>
    <row r="28" spans="1:14">
      <c r="A28">
        <v>27</v>
      </c>
      <c r="B28" s="1">
        <v>45007</v>
      </c>
      <c r="C28">
        <v>192</v>
      </c>
      <c r="D28" t="s">
        <v>19</v>
      </c>
      <c r="E28">
        <v>39</v>
      </c>
      <c r="F28" t="str" cm="1">
        <f t="array" ref="F28">_xlfn.IFS(E28&lt;18, "0-17",
     E28&lt;25, "18-24",
     E28&lt;35, "25-34",
     E28&lt;45, "35-44",
     E28&lt;55, "45-54",
     E28&lt;65, "55-64",
     TRUE, "65+")</f>
        <v>35-44</v>
      </c>
      <c r="G28" t="s">
        <v>23</v>
      </c>
      <c r="H28" t="s">
        <v>24</v>
      </c>
      <c r="I28" s="2">
        <v>28.99</v>
      </c>
      <c r="J28">
        <v>3</v>
      </c>
      <c r="K28" s="2">
        <v>86.97</v>
      </c>
      <c r="L28" t="s">
        <v>17</v>
      </c>
      <c r="M28" t="s">
        <v>18</v>
      </c>
      <c r="N28">
        <v>7.2</v>
      </c>
    </row>
    <row r="29" spans="1:14">
      <c r="A29">
        <v>28</v>
      </c>
      <c r="B29" s="1">
        <v>45010</v>
      </c>
      <c r="C29">
        <v>105</v>
      </c>
      <c r="D29" t="s">
        <v>14</v>
      </c>
      <c r="E29">
        <v>52</v>
      </c>
      <c r="F29" t="str" cm="1">
        <f t="array" ref="F29">_xlfn.IFS(E29&lt;18, "0-17",
     E29&lt;25, "18-24",
     E29&lt;35, "25-34",
     E29&lt;45, "35-44",
     E29&lt;55, "45-54",
     E29&lt;65, "55-64",
     TRUE, "65+")</f>
        <v>45-54</v>
      </c>
      <c r="G29" t="s">
        <v>28</v>
      </c>
      <c r="H29" t="s">
        <v>29</v>
      </c>
      <c r="I29" s="2">
        <v>32.99</v>
      </c>
      <c r="J29">
        <v>2</v>
      </c>
      <c r="K29" s="2">
        <v>65.98</v>
      </c>
      <c r="L29" t="s">
        <v>22</v>
      </c>
      <c r="M29" t="s">
        <v>18</v>
      </c>
      <c r="N29">
        <v>3.7</v>
      </c>
    </row>
    <row r="30" spans="1:14">
      <c r="A30">
        <v>29</v>
      </c>
      <c r="B30" s="1">
        <v>45013</v>
      </c>
      <c r="C30">
        <v>128</v>
      </c>
      <c r="D30" t="s">
        <v>19</v>
      </c>
      <c r="E30">
        <v>44</v>
      </c>
      <c r="F30" t="str" cm="1">
        <f t="array" ref="F30">_xlfn.IFS(E30&lt;18, "0-17",
     E30&lt;25, "18-24",
     E30&lt;35, "25-34",
     E30&lt;45, "35-44",
     E30&lt;55, "45-54",
     E30&lt;65, "55-64",
     TRUE, "65+")</f>
        <v>35-44</v>
      </c>
      <c r="G30" t="s">
        <v>20</v>
      </c>
      <c r="H30" t="s">
        <v>21</v>
      </c>
      <c r="I30" s="2">
        <v>44.99</v>
      </c>
      <c r="J30">
        <v>1</v>
      </c>
      <c r="K30" s="2">
        <v>44.99</v>
      </c>
      <c r="L30" t="s">
        <v>17</v>
      </c>
      <c r="M30" t="s">
        <v>26</v>
      </c>
      <c r="N30">
        <v>8.8000000000000007</v>
      </c>
    </row>
    <row r="31" spans="1:14">
      <c r="A31">
        <v>30</v>
      </c>
      <c r="B31" s="1">
        <v>45015</v>
      </c>
      <c r="C31">
        <v>162</v>
      </c>
      <c r="D31" t="s">
        <v>14</v>
      </c>
      <c r="E31">
        <v>33</v>
      </c>
      <c r="F31" t="str" cm="1">
        <f t="array" ref="F31">_xlfn.IFS(E31&lt;18, "0-17",
     E31&lt;25, "18-24",
     E31&lt;35, "25-34",
     E31&lt;45, "35-44",
     E31&lt;55, "45-54",
     E31&lt;65, "55-64",
     TRUE, "65+")</f>
        <v>25-34</v>
      </c>
      <c r="G31" t="s">
        <v>15</v>
      </c>
      <c r="H31" t="s">
        <v>34</v>
      </c>
      <c r="I31" s="2">
        <v>15.99</v>
      </c>
      <c r="J31">
        <v>4</v>
      </c>
      <c r="K31" s="2">
        <v>63.96</v>
      </c>
      <c r="L31" t="s">
        <v>17</v>
      </c>
      <c r="M31" t="s">
        <v>18</v>
      </c>
      <c r="N31">
        <v>4.9000000000000004</v>
      </c>
    </row>
    <row r="32" spans="1:14">
      <c r="A32">
        <v>31</v>
      </c>
      <c r="B32" s="1">
        <v>45018</v>
      </c>
      <c r="C32">
        <v>196</v>
      </c>
      <c r="D32" t="s">
        <v>19</v>
      </c>
      <c r="E32">
        <v>26</v>
      </c>
      <c r="F32" t="str" cm="1">
        <f t="array" ref="F32">_xlfn.IFS(E32&lt;18, "0-17",
     E32&lt;25, "18-24",
     E32&lt;35, "25-34",
     E32&lt;45, "35-44",
     E32&lt;55, "45-54",
     E32&lt;65, "55-64",
     TRUE, "65+")</f>
        <v>25-34</v>
      </c>
      <c r="G32" t="s">
        <v>23</v>
      </c>
      <c r="H32" t="s">
        <v>33</v>
      </c>
      <c r="I32" s="2">
        <v>49.99</v>
      </c>
      <c r="J32">
        <v>2</v>
      </c>
      <c r="K32" s="2">
        <v>99.98</v>
      </c>
      <c r="L32" t="s">
        <v>25</v>
      </c>
      <c r="M32" t="s">
        <v>18</v>
      </c>
      <c r="N32">
        <v>2.2000000000000002</v>
      </c>
    </row>
    <row r="33" spans="1:14">
      <c r="A33">
        <v>32</v>
      </c>
      <c r="B33" s="1">
        <v>45021</v>
      </c>
      <c r="C33">
        <v>171</v>
      </c>
      <c r="D33" t="s">
        <v>14</v>
      </c>
      <c r="E33">
        <v>58</v>
      </c>
      <c r="F33" t="str" cm="1">
        <f t="array" ref="F33">_xlfn.IFS(E33&lt;18, "0-17",
     E33&lt;25, "18-24",
     E33&lt;35, "25-34",
     E33&lt;45, "35-44",
     E33&lt;55, "45-54",
     E33&lt;65, "55-64",
     TRUE, "65+")</f>
        <v>55-64</v>
      </c>
      <c r="G33" t="s">
        <v>20</v>
      </c>
      <c r="H33" t="s">
        <v>36</v>
      </c>
      <c r="I33" s="2">
        <v>79.989999999999995</v>
      </c>
      <c r="J33">
        <v>1</v>
      </c>
      <c r="K33" s="2">
        <v>79.989999999999995</v>
      </c>
      <c r="L33" t="s">
        <v>17</v>
      </c>
      <c r="M33" t="s">
        <v>18</v>
      </c>
      <c r="N33">
        <v>2.8</v>
      </c>
    </row>
    <row r="34" spans="1:14">
      <c r="A34">
        <v>33</v>
      </c>
      <c r="B34" s="1">
        <v>45024</v>
      </c>
      <c r="C34">
        <v>158</v>
      </c>
      <c r="D34" t="s">
        <v>19</v>
      </c>
      <c r="E34">
        <v>42</v>
      </c>
      <c r="F34" t="str" cm="1">
        <f t="array" ref="F34">_xlfn.IFS(E34&lt;18, "0-17",
     E34&lt;25, "18-24",
     E34&lt;35, "25-34",
     E34&lt;45, "35-44",
     E34&lt;55, "45-54",
     E34&lt;65, "55-64",
     TRUE, "65+")</f>
        <v>35-44</v>
      </c>
      <c r="G34" t="s">
        <v>28</v>
      </c>
      <c r="H34" t="s">
        <v>35</v>
      </c>
      <c r="I34" s="2">
        <v>18.989999999999998</v>
      </c>
      <c r="J34">
        <v>3</v>
      </c>
      <c r="K34" s="2">
        <v>56.97</v>
      </c>
      <c r="L34" t="s">
        <v>22</v>
      </c>
      <c r="M34" t="s">
        <v>18</v>
      </c>
      <c r="N34">
        <v>2.2000000000000002</v>
      </c>
    </row>
    <row r="35" spans="1:14">
      <c r="A35">
        <v>34</v>
      </c>
      <c r="B35" s="1">
        <v>45026</v>
      </c>
      <c r="C35">
        <v>124</v>
      </c>
      <c r="D35" t="s">
        <v>14</v>
      </c>
      <c r="E35">
        <v>36</v>
      </c>
      <c r="F35" t="str" cm="1">
        <f t="array" ref="F35">_xlfn.IFS(E35&lt;18, "0-17",
     E35&lt;25, "18-24",
     E35&lt;35, "25-34",
     E35&lt;45, "35-44",
     E35&lt;55, "45-54",
     E35&lt;65, "55-64",
     TRUE, "65+")</f>
        <v>35-44</v>
      </c>
      <c r="G35" t="s">
        <v>15</v>
      </c>
      <c r="H35" t="s">
        <v>38</v>
      </c>
      <c r="I35" s="2">
        <v>89.99</v>
      </c>
      <c r="J35">
        <v>2</v>
      </c>
      <c r="K35" s="2">
        <v>179.98</v>
      </c>
      <c r="L35" t="s">
        <v>17</v>
      </c>
      <c r="M35" t="s">
        <v>26</v>
      </c>
      <c r="N35">
        <v>8</v>
      </c>
    </row>
    <row r="36" spans="1:14">
      <c r="A36">
        <v>35</v>
      </c>
      <c r="B36" s="1">
        <v>45028</v>
      </c>
      <c r="C36">
        <v>113</v>
      </c>
      <c r="D36" t="s">
        <v>19</v>
      </c>
      <c r="E36">
        <v>27</v>
      </c>
      <c r="F36" t="str" cm="1">
        <f t="array" ref="F36">_xlfn.IFS(E36&lt;18, "0-17",
     E36&lt;25, "18-24",
     E36&lt;35, "25-34",
     E36&lt;45, "35-44",
     E36&lt;55, "45-54",
     E36&lt;65, "55-64",
     TRUE, "65+")</f>
        <v>25-34</v>
      </c>
      <c r="G36" t="s">
        <v>23</v>
      </c>
      <c r="H36" t="s">
        <v>37</v>
      </c>
      <c r="I36" s="2">
        <v>22.99</v>
      </c>
      <c r="J36">
        <v>4</v>
      </c>
      <c r="K36" s="2">
        <v>91.96</v>
      </c>
      <c r="L36" t="s">
        <v>31</v>
      </c>
      <c r="M36" t="s">
        <v>18</v>
      </c>
      <c r="N36">
        <v>0.5</v>
      </c>
    </row>
    <row r="37" spans="1:14">
      <c r="A37">
        <v>36</v>
      </c>
      <c r="B37" s="1">
        <v>45031</v>
      </c>
      <c r="C37">
        <v>184</v>
      </c>
      <c r="D37" t="s">
        <v>14</v>
      </c>
      <c r="E37">
        <v>63</v>
      </c>
      <c r="F37" t="str" cm="1">
        <f t="array" ref="F37">_xlfn.IFS(E37&lt;18, "0-17",
     E37&lt;25, "18-24",
     E37&lt;35, "25-34",
     E37&lt;45, "35-44",
     E37&lt;55, "45-54",
     E37&lt;65, "55-64",
     TRUE, "65+")</f>
        <v>55-64</v>
      </c>
      <c r="G37" t="s">
        <v>20</v>
      </c>
      <c r="H37" t="s">
        <v>44</v>
      </c>
      <c r="I37" s="2">
        <v>12.99</v>
      </c>
      <c r="J37">
        <v>3</v>
      </c>
      <c r="K37" s="2">
        <v>38.97</v>
      </c>
      <c r="L37" t="s">
        <v>17</v>
      </c>
      <c r="M37" t="s">
        <v>18</v>
      </c>
      <c r="N37">
        <v>7.9</v>
      </c>
    </row>
    <row r="38" spans="1:14">
      <c r="A38">
        <v>37</v>
      </c>
      <c r="B38" s="1">
        <v>45034</v>
      </c>
      <c r="C38">
        <v>179</v>
      </c>
      <c r="D38" t="s">
        <v>19</v>
      </c>
      <c r="E38">
        <v>38</v>
      </c>
      <c r="F38" t="str" cm="1">
        <f t="array" ref="F38">_xlfn.IFS(E38&lt;18, "0-17",
     E38&lt;25, "18-24",
     E38&lt;35, "25-34",
     E38&lt;45, "35-44",
     E38&lt;55, "45-54",
     E38&lt;65, "55-64",
     TRUE, "65+")</f>
        <v>35-44</v>
      </c>
      <c r="G38" t="s">
        <v>28</v>
      </c>
      <c r="H38" t="s">
        <v>39</v>
      </c>
      <c r="I38" s="2">
        <v>9.99</v>
      </c>
      <c r="J38">
        <v>2</v>
      </c>
      <c r="K38" s="2">
        <v>19.98</v>
      </c>
      <c r="L38" t="s">
        <v>17</v>
      </c>
      <c r="M38" t="s">
        <v>18</v>
      </c>
      <c r="N38">
        <v>9.8000000000000007</v>
      </c>
    </row>
    <row r="39" spans="1:14">
      <c r="A39">
        <v>38</v>
      </c>
      <c r="B39" s="1">
        <v>45036</v>
      </c>
      <c r="C39">
        <v>154</v>
      </c>
      <c r="D39" t="s">
        <v>14</v>
      </c>
      <c r="E39">
        <v>49</v>
      </c>
      <c r="F39" t="str" cm="1">
        <f t="array" ref="F39">_xlfn.IFS(E39&lt;18, "0-17",
     E39&lt;25, "18-24",
     E39&lt;35, "25-34",
     E39&lt;45, "35-44",
     E39&lt;55, "45-54",
     E39&lt;65, "55-64",
     TRUE, "65+")</f>
        <v>45-54</v>
      </c>
      <c r="G39" t="s">
        <v>15</v>
      </c>
      <c r="H39" t="s">
        <v>42</v>
      </c>
      <c r="I39" s="2">
        <v>219.99</v>
      </c>
      <c r="J39">
        <v>1</v>
      </c>
      <c r="K39" s="2">
        <v>219.99</v>
      </c>
      <c r="L39" t="s">
        <v>22</v>
      </c>
      <c r="M39" t="s">
        <v>18</v>
      </c>
      <c r="N39">
        <v>2.5</v>
      </c>
    </row>
    <row r="40" spans="1:14">
      <c r="A40">
        <v>39</v>
      </c>
      <c r="B40" s="1">
        <v>45038</v>
      </c>
      <c r="C40">
        <v>144</v>
      </c>
      <c r="D40" t="s">
        <v>19</v>
      </c>
      <c r="E40">
        <v>24</v>
      </c>
      <c r="F40" t="str" cm="1">
        <f t="array" ref="F40">_xlfn.IFS(E40&lt;18, "0-17",
     E40&lt;25, "18-24",
     E40&lt;35, "25-34",
     E40&lt;45, "35-44",
     E40&lt;55, "45-54",
     E40&lt;65, "55-64",
     TRUE, "65+")</f>
        <v>18-24</v>
      </c>
      <c r="G40" t="s">
        <v>20</v>
      </c>
      <c r="H40" t="s">
        <v>32</v>
      </c>
      <c r="I40" s="2">
        <v>64.989999999999995</v>
      </c>
      <c r="J40">
        <v>2</v>
      </c>
      <c r="K40" s="2">
        <v>129.97999999999999</v>
      </c>
      <c r="L40" t="s">
        <v>17</v>
      </c>
      <c r="M40" t="s">
        <v>26</v>
      </c>
      <c r="N40">
        <v>4.9000000000000004</v>
      </c>
    </row>
    <row r="41" spans="1:14">
      <c r="A41">
        <v>40</v>
      </c>
      <c r="B41" s="1">
        <v>45041</v>
      </c>
      <c r="C41">
        <v>125</v>
      </c>
      <c r="D41" t="s">
        <v>14</v>
      </c>
      <c r="E41">
        <v>41</v>
      </c>
      <c r="F41" t="str" cm="1">
        <f t="array" ref="F41">_xlfn.IFS(E41&lt;18, "0-17",
     E41&lt;25, "18-24",
     E41&lt;35, "25-34",
     E41&lt;45, "35-44",
     E41&lt;55, "45-54",
     E41&lt;65, "55-64",
     TRUE, "65+")</f>
        <v>35-44</v>
      </c>
      <c r="G41" t="s">
        <v>23</v>
      </c>
      <c r="H41" t="s">
        <v>41</v>
      </c>
      <c r="I41" s="2">
        <v>139.99</v>
      </c>
      <c r="J41">
        <v>1</v>
      </c>
      <c r="K41" s="2">
        <v>139.99</v>
      </c>
      <c r="L41" t="s">
        <v>25</v>
      </c>
      <c r="M41" t="s">
        <v>18</v>
      </c>
      <c r="N41">
        <v>6.8</v>
      </c>
    </row>
    <row r="42" spans="1:14">
      <c r="A42">
        <v>41</v>
      </c>
      <c r="B42" s="1">
        <v>45044</v>
      </c>
      <c r="C42">
        <v>114</v>
      </c>
      <c r="D42" t="s">
        <v>19</v>
      </c>
      <c r="E42">
        <v>35</v>
      </c>
      <c r="F42" t="str" cm="1">
        <f t="array" ref="F42">_xlfn.IFS(E42&lt;18, "0-17",
     E42&lt;25, "18-24",
     E42&lt;35, "25-34",
     E42&lt;45, "35-44",
     E42&lt;55, "45-54",
     E42&lt;65, "55-64",
     TRUE, "65+")</f>
        <v>35-44</v>
      </c>
      <c r="G42" t="s">
        <v>28</v>
      </c>
      <c r="H42" t="s">
        <v>43</v>
      </c>
      <c r="I42" s="2">
        <v>14.99</v>
      </c>
      <c r="J42">
        <v>3</v>
      </c>
      <c r="K42" s="2">
        <v>44.97</v>
      </c>
      <c r="L42" t="s">
        <v>17</v>
      </c>
      <c r="M42" t="s">
        <v>18</v>
      </c>
      <c r="N42">
        <v>1.9</v>
      </c>
    </row>
    <row r="43" spans="1:14">
      <c r="A43">
        <v>42</v>
      </c>
      <c r="B43" s="1">
        <v>45046</v>
      </c>
      <c r="C43">
        <v>124</v>
      </c>
      <c r="D43" t="s">
        <v>14</v>
      </c>
      <c r="E43">
        <v>50</v>
      </c>
      <c r="F43" t="str" cm="1">
        <f t="array" ref="F43">_xlfn.IFS(E43&lt;18, "0-17",
     E43&lt;25, "18-24",
     E43&lt;35, "25-34",
     E43&lt;45, "35-44",
     E43&lt;55, "45-54",
     E43&lt;65, "55-64",
     TRUE, "65+")</f>
        <v>45-54</v>
      </c>
      <c r="G43" t="s">
        <v>20</v>
      </c>
      <c r="H43" t="s">
        <v>47</v>
      </c>
      <c r="I43" s="2">
        <v>19.989999999999998</v>
      </c>
      <c r="J43">
        <v>1</v>
      </c>
      <c r="K43" s="2">
        <v>19.989999999999998</v>
      </c>
      <c r="L43" t="s">
        <v>17</v>
      </c>
      <c r="M43" t="s">
        <v>18</v>
      </c>
      <c r="N43">
        <v>8</v>
      </c>
    </row>
    <row r="44" spans="1:14">
      <c r="A44">
        <v>43</v>
      </c>
      <c r="B44" s="1">
        <v>45049</v>
      </c>
      <c r="C44">
        <v>196</v>
      </c>
      <c r="D44" t="s">
        <v>19</v>
      </c>
      <c r="E44">
        <v>28</v>
      </c>
      <c r="F44" t="str" cm="1">
        <f t="array" ref="F44">_xlfn.IFS(E44&lt;18, "0-17",
     E44&lt;25, "18-24",
     E44&lt;35, "25-34",
     E44&lt;45, "35-44",
     E44&lt;55, "45-54",
     E44&lt;65, "55-64",
     TRUE, "65+")</f>
        <v>25-34</v>
      </c>
      <c r="G44" t="s">
        <v>15</v>
      </c>
      <c r="H44" t="s">
        <v>46</v>
      </c>
      <c r="I44" s="2">
        <v>89.99</v>
      </c>
      <c r="J44">
        <v>1</v>
      </c>
      <c r="K44" s="2">
        <v>89.99</v>
      </c>
      <c r="L44" t="s">
        <v>22</v>
      </c>
      <c r="M44" t="s">
        <v>26</v>
      </c>
      <c r="N44">
        <v>2.2000000000000002</v>
      </c>
    </row>
    <row r="45" spans="1:14">
      <c r="A45">
        <v>44</v>
      </c>
      <c r="B45" s="1">
        <v>45051</v>
      </c>
      <c r="C45">
        <v>157</v>
      </c>
      <c r="D45" t="s">
        <v>14</v>
      </c>
      <c r="E45">
        <v>55</v>
      </c>
      <c r="F45" t="str" cm="1">
        <f t="array" ref="F45">_xlfn.IFS(E45&lt;18, "0-17",
     E45&lt;25, "18-24",
     E45&lt;35, "25-34",
     E45&lt;45, "35-44",
     E45&lt;55, "45-54",
     E45&lt;65, "55-64",
     TRUE, "65+")</f>
        <v>55-64</v>
      </c>
      <c r="G45" t="s">
        <v>23</v>
      </c>
      <c r="H45" t="s">
        <v>45</v>
      </c>
      <c r="I45" s="2">
        <v>59.99</v>
      </c>
      <c r="J45">
        <v>2</v>
      </c>
      <c r="K45" s="2">
        <v>119.98</v>
      </c>
      <c r="L45" t="s">
        <v>17</v>
      </c>
      <c r="M45" t="s">
        <v>18</v>
      </c>
      <c r="N45">
        <v>3.3</v>
      </c>
    </row>
    <row r="46" spans="1:14">
      <c r="A46">
        <v>45</v>
      </c>
      <c r="B46" s="1">
        <v>45054</v>
      </c>
      <c r="C46">
        <v>109</v>
      </c>
      <c r="D46" t="s">
        <v>19</v>
      </c>
      <c r="E46">
        <v>32</v>
      </c>
      <c r="F46" t="str" cm="1">
        <f t="array" ref="F46">_xlfn.IFS(E46&lt;18, "0-17",
     E46&lt;25, "18-24",
     E46&lt;35, "25-34",
     E46&lt;45, "35-44",
     E46&lt;55, "45-54",
     E46&lt;65, "55-64",
     TRUE, "65+")</f>
        <v>25-34</v>
      </c>
      <c r="G46" t="s">
        <v>28</v>
      </c>
      <c r="H46" t="s">
        <v>50</v>
      </c>
      <c r="I46" s="2">
        <v>49.99</v>
      </c>
      <c r="J46">
        <v>1</v>
      </c>
      <c r="K46" s="2">
        <v>49.99</v>
      </c>
      <c r="L46" t="s">
        <v>17</v>
      </c>
      <c r="M46" t="s">
        <v>18</v>
      </c>
      <c r="N46">
        <v>0.3</v>
      </c>
    </row>
    <row r="47" spans="1:14">
      <c r="A47">
        <v>46</v>
      </c>
      <c r="B47" s="1">
        <v>45056</v>
      </c>
      <c r="C47">
        <v>133</v>
      </c>
      <c r="D47" t="s">
        <v>14</v>
      </c>
      <c r="E47">
        <v>45</v>
      </c>
      <c r="F47" t="str" cm="1">
        <f t="array" ref="F47">_xlfn.IFS(E47&lt;18, "0-17",
     E47&lt;25, "18-24",
     E47&lt;35, "25-34",
     E47&lt;45, "35-44",
     E47&lt;55, "45-54",
     E47&lt;65, "55-64",
     TRUE, "65+")</f>
        <v>45-54</v>
      </c>
      <c r="G47" t="s">
        <v>20</v>
      </c>
      <c r="H47" t="s">
        <v>40</v>
      </c>
      <c r="I47" s="2">
        <v>89.99</v>
      </c>
      <c r="J47">
        <v>1</v>
      </c>
      <c r="K47" s="2">
        <v>89.99</v>
      </c>
      <c r="L47" t="s">
        <v>31</v>
      </c>
      <c r="M47" t="s">
        <v>18</v>
      </c>
      <c r="N47">
        <v>5.3</v>
      </c>
    </row>
    <row r="48" spans="1:14">
      <c r="A48">
        <v>47</v>
      </c>
      <c r="B48" s="1">
        <v>45058</v>
      </c>
      <c r="C48">
        <v>197</v>
      </c>
      <c r="D48" t="s">
        <v>19</v>
      </c>
      <c r="E48">
        <v>61</v>
      </c>
      <c r="F48" t="str" cm="1">
        <f t="array" ref="F48">_xlfn.IFS(E48&lt;18, "0-17",
     E48&lt;25, "18-24",
     E48&lt;35, "25-34",
     E48&lt;45, "35-44",
     E48&lt;55, "45-54",
     E48&lt;65, "55-64",
     TRUE, "65+")</f>
        <v>55-64</v>
      </c>
      <c r="G48" t="s">
        <v>15</v>
      </c>
      <c r="H48" t="s">
        <v>30</v>
      </c>
      <c r="I48" s="2">
        <v>12.99</v>
      </c>
      <c r="J48">
        <v>4</v>
      </c>
      <c r="K48" s="2">
        <v>51.96</v>
      </c>
      <c r="L48" t="s">
        <v>17</v>
      </c>
      <c r="M48" t="s">
        <v>18</v>
      </c>
      <c r="N48">
        <v>8.6</v>
      </c>
    </row>
    <row r="49" spans="1:14">
      <c r="A49">
        <v>48</v>
      </c>
      <c r="B49" s="1">
        <v>45061</v>
      </c>
      <c r="C49">
        <v>106</v>
      </c>
      <c r="D49" t="s">
        <v>14</v>
      </c>
      <c r="E49">
        <v>27</v>
      </c>
      <c r="F49" t="str" cm="1">
        <f t="array" ref="F49">_xlfn.IFS(E49&lt;18, "0-17",
     E49&lt;25, "18-24",
     E49&lt;35, "25-34",
     E49&lt;45, "35-44",
     E49&lt;55, "45-54",
     E49&lt;65, "55-64",
     TRUE, "65+")</f>
        <v>25-34</v>
      </c>
      <c r="G49" t="s">
        <v>23</v>
      </c>
      <c r="H49" t="s">
        <v>49</v>
      </c>
      <c r="I49" s="2">
        <v>29.99</v>
      </c>
      <c r="J49">
        <v>2</v>
      </c>
      <c r="K49" s="2">
        <v>59.98</v>
      </c>
      <c r="L49" t="s">
        <v>25</v>
      </c>
      <c r="M49" t="s">
        <v>18</v>
      </c>
      <c r="N49">
        <v>5.9</v>
      </c>
    </row>
    <row r="50" spans="1:14">
      <c r="A50">
        <v>49</v>
      </c>
      <c r="B50" s="1">
        <v>45064</v>
      </c>
      <c r="C50">
        <v>186</v>
      </c>
      <c r="D50" t="s">
        <v>19</v>
      </c>
      <c r="E50">
        <v>39</v>
      </c>
      <c r="F50" t="str" cm="1">
        <f t="array" ref="F50">_xlfn.IFS(E50&lt;18, "0-17",
     E50&lt;25, "18-24",
     E50&lt;35, "25-34",
     E50&lt;45, "35-44",
     E50&lt;55, "45-54",
     E50&lt;65, "55-64",
     TRUE, "65+")</f>
        <v>35-44</v>
      </c>
      <c r="G50" t="s">
        <v>28</v>
      </c>
      <c r="H50" t="s">
        <v>29</v>
      </c>
      <c r="I50" s="2">
        <v>39.99</v>
      </c>
      <c r="J50">
        <v>2</v>
      </c>
      <c r="K50" s="2">
        <v>79.98</v>
      </c>
      <c r="L50" t="s">
        <v>17</v>
      </c>
      <c r="M50" t="s">
        <v>26</v>
      </c>
      <c r="N50">
        <v>6.6</v>
      </c>
    </row>
    <row r="51" spans="1:14">
      <c r="A51">
        <v>50</v>
      </c>
      <c r="B51" s="1">
        <v>45066</v>
      </c>
      <c r="C51">
        <v>196</v>
      </c>
      <c r="D51" t="s">
        <v>14</v>
      </c>
      <c r="E51">
        <v>48</v>
      </c>
      <c r="F51" t="str" cm="1">
        <f t="array" ref="F51">_xlfn.IFS(E51&lt;18, "0-17",
     E51&lt;25, "18-24",
     E51&lt;35, "25-34",
     E51&lt;45, "35-44",
     E51&lt;55, "45-54",
     E51&lt;65, "55-64",
     TRUE, "65+")</f>
        <v>45-54</v>
      </c>
      <c r="G51" t="s">
        <v>20</v>
      </c>
      <c r="H51" t="s">
        <v>21</v>
      </c>
      <c r="I51" s="2">
        <v>49.99</v>
      </c>
      <c r="J51">
        <v>3</v>
      </c>
      <c r="K51" s="2">
        <v>149.97</v>
      </c>
      <c r="L51" t="s">
        <v>22</v>
      </c>
      <c r="M51" t="s">
        <v>18</v>
      </c>
      <c r="N51">
        <v>2.2000000000000002</v>
      </c>
    </row>
    <row r="52" spans="1:14">
      <c r="A52">
        <v>51</v>
      </c>
      <c r="B52" s="1">
        <v>45068</v>
      </c>
      <c r="C52">
        <v>111</v>
      </c>
      <c r="D52" t="s">
        <v>19</v>
      </c>
      <c r="E52">
        <v>33</v>
      </c>
      <c r="F52" t="str" cm="1">
        <f t="array" ref="F52">_xlfn.IFS(E52&lt;18, "0-17",
     E52&lt;25, "18-24",
     E52&lt;35, "25-34",
     E52&lt;45, "35-44",
     E52&lt;55, "45-54",
     E52&lt;65, "55-64",
     TRUE, "65+")</f>
        <v>25-34</v>
      </c>
      <c r="G52" t="s">
        <v>15</v>
      </c>
      <c r="H52" t="s">
        <v>16</v>
      </c>
      <c r="I52" s="2">
        <v>59.99</v>
      </c>
      <c r="J52">
        <v>1</v>
      </c>
      <c r="K52" s="2">
        <v>59.99</v>
      </c>
      <c r="L52" t="s">
        <v>17</v>
      </c>
      <c r="M52" t="s">
        <v>18</v>
      </c>
      <c r="N52">
        <v>1.9</v>
      </c>
    </row>
    <row r="53" spans="1:14">
      <c r="A53">
        <v>52</v>
      </c>
      <c r="B53" s="1">
        <v>45071</v>
      </c>
      <c r="C53">
        <v>166</v>
      </c>
      <c r="D53" t="s">
        <v>14</v>
      </c>
      <c r="E53">
        <v>56</v>
      </c>
      <c r="F53" t="str" cm="1">
        <f t="array" ref="F53">_xlfn.IFS(E53&lt;18, "0-17",
     E53&lt;25, "18-24",
     E53&lt;35, "25-34",
     E53&lt;45, "35-44",
     E53&lt;55, "45-54",
     E53&lt;65, "55-64",
     TRUE, "65+")</f>
        <v>55-64</v>
      </c>
      <c r="G53" t="s">
        <v>23</v>
      </c>
      <c r="H53" t="s">
        <v>24</v>
      </c>
      <c r="I53" s="2">
        <v>34.99</v>
      </c>
      <c r="J53">
        <v>2</v>
      </c>
      <c r="K53" s="2">
        <v>69.98</v>
      </c>
      <c r="L53" t="s">
        <v>17</v>
      </c>
      <c r="M53" t="s">
        <v>18</v>
      </c>
      <c r="N53">
        <v>4.9000000000000004</v>
      </c>
    </row>
    <row r="54" spans="1:14">
      <c r="A54">
        <v>53</v>
      </c>
      <c r="B54" s="1">
        <v>45074</v>
      </c>
      <c r="C54">
        <v>126</v>
      </c>
      <c r="D54" t="s">
        <v>19</v>
      </c>
      <c r="E54">
        <v>22</v>
      </c>
      <c r="F54" t="str" cm="1">
        <f t="array" ref="F54">_xlfn.IFS(E54&lt;18, "0-17",
     E54&lt;25, "18-24",
     E54&lt;35, "25-34",
     E54&lt;45, "35-44",
     E54&lt;55, "45-54",
     E54&lt;65, "55-64",
     TRUE, "65+")</f>
        <v>18-24</v>
      </c>
      <c r="G54" t="s">
        <v>28</v>
      </c>
      <c r="H54" t="s">
        <v>39</v>
      </c>
      <c r="I54" s="2">
        <v>7.99</v>
      </c>
      <c r="J54">
        <v>3</v>
      </c>
      <c r="K54" s="2">
        <v>23.97</v>
      </c>
      <c r="L54" t="s">
        <v>17</v>
      </c>
      <c r="M54" t="s">
        <v>18</v>
      </c>
      <c r="N54">
        <v>3.1</v>
      </c>
    </row>
    <row r="55" spans="1:14">
      <c r="A55">
        <v>54</v>
      </c>
      <c r="B55" s="1">
        <v>45076</v>
      </c>
      <c r="C55">
        <v>168</v>
      </c>
      <c r="D55" t="s">
        <v>14</v>
      </c>
      <c r="E55">
        <v>42</v>
      </c>
      <c r="F55" t="str" cm="1">
        <f t="array" ref="F55">_xlfn.IFS(E55&lt;18, "0-17",
     E55&lt;25, "18-24",
     E55&lt;35, "25-34",
     E55&lt;45, "35-44",
     E55&lt;55, "45-54",
     E55&lt;65, "55-64",
     TRUE, "65+")</f>
        <v>35-44</v>
      </c>
      <c r="G55" t="s">
        <v>20</v>
      </c>
      <c r="H55" t="s">
        <v>32</v>
      </c>
      <c r="I55" s="2">
        <v>69.989999999999995</v>
      </c>
      <c r="J55">
        <v>2</v>
      </c>
      <c r="K55" s="2">
        <v>139.97999999999999</v>
      </c>
      <c r="L55" t="s">
        <v>22</v>
      </c>
      <c r="M55" t="s">
        <v>26</v>
      </c>
      <c r="N55">
        <v>3.1</v>
      </c>
    </row>
    <row r="56" spans="1:14">
      <c r="A56">
        <v>55</v>
      </c>
      <c r="B56" s="1">
        <v>45079</v>
      </c>
      <c r="C56">
        <v>180</v>
      </c>
      <c r="D56" t="s">
        <v>19</v>
      </c>
      <c r="E56">
        <v>64</v>
      </c>
      <c r="F56" t="str" cm="1">
        <f t="array" ref="F56">_xlfn.IFS(E56&lt;18, "0-17",
     E56&lt;25, "18-24",
     E56&lt;35, "25-34",
     E56&lt;45, "35-44",
     E56&lt;55, "45-54",
     E56&lt;65, "55-64",
     TRUE, "65+")</f>
        <v>55-64</v>
      </c>
      <c r="G56" t="s">
        <v>15</v>
      </c>
      <c r="H56" t="s">
        <v>34</v>
      </c>
      <c r="I56" s="2">
        <v>19.989999999999998</v>
      </c>
      <c r="J56">
        <v>1</v>
      </c>
      <c r="K56" s="2">
        <v>19.989999999999998</v>
      </c>
      <c r="L56" t="s">
        <v>17</v>
      </c>
      <c r="M56" t="s">
        <v>18</v>
      </c>
      <c r="N56">
        <v>5.9</v>
      </c>
    </row>
    <row r="57" spans="1:14">
      <c r="A57">
        <v>56</v>
      </c>
      <c r="B57" s="1">
        <v>45082</v>
      </c>
      <c r="C57">
        <v>166</v>
      </c>
      <c r="D57" t="s">
        <v>14</v>
      </c>
      <c r="E57">
        <v>37</v>
      </c>
      <c r="F57" t="str" cm="1">
        <f t="array" ref="F57">_xlfn.IFS(E57&lt;18, "0-17",
     E57&lt;25, "18-24",
     E57&lt;35, "25-34",
     E57&lt;45, "35-44",
     E57&lt;55, "45-54",
     E57&lt;65, "55-64",
     TRUE, "65+")</f>
        <v>35-44</v>
      </c>
      <c r="G57" t="s">
        <v>23</v>
      </c>
      <c r="H57" t="s">
        <v>33</v>
      </c>
      <c r="I57" s="2">
        <v>44.99</v>
      </c>
      <c r="J57">
        <v>2</v>
      </c>
      <c r="K57" s="2">
        <v>89.98</v>
      </c>
      <c r="L57" t="s">
        <v>17</v>
      </c>
      <c r="M57" t="s">
        <v>18</v>
      </c>
      <c r="N57">
        <v>4.9000000000000004</v>
      </c>
    </row>
    <row r="58" spans="1:14">
      <c r="A58">
        <v>57</v>
      </c>
      <c r="B58" s="1">
        <v>45085</v>
      </c>
      <c r="C58">
        <v>126</v>
      </c>
      <c r="D58" t="s">
        <v>19</v>
      </c>
      <c r="E58">
        <v>30</v>
      </c>
      <c r="F58" t="str" cm="1">
        <f t="array" ref="F58">_xlfn.IFS(E58&lt;18, "0-17",
     E58&lt;25, "18-24",
     E58&lt;35, "25-34",
     E58&lt;45, "35-44",
     E58&lt;55, "45-54",
     E58&lt;65, "55-64",
     TRUE, "65+")</f>
        <v>25-34</v>
      </c>
      <c r="G58" t="s">
        <v>28</v>
      </c>
      <c r="H58" t="s">
        <v>35</v>
      </c>
      <c r="I58" s="2">
        <v>16.989999999999998</v>
      </c>
      <c r="J58">
        <v>3</v>
      </c>
      <c r="K58" s="2">
        <v>50.97</v>
      </c>
      <c r="L58" t="s">
        <v>17</v>
      </c>
      <c r="M58" t="s">
        <v>18</v>
      </c>
      <c r="N58">
        <v>3.1</v>
      </c>
    </row>
    <row r="59" spans="1:14">
      <c r="A59">
        <v>58</v>
      </c>
      <c r="B59" s="1">
        <v>45087</v>
      </c>
      <c r="C59">
        <v>112</v>
      </c>
      <c r="D59" t="s">
        <v>19</v>
      </c>
      <c r="E59">
        <v>52</v>
      </c>
      <c r="F59" t="str" cm="1">
        <f t="array" ref="F59">_xlfn.IFS(E59&lt;18, "0-17",
     E59&lt;25, "18-24",
     E59&lt;35, "25-34",
     E59&lt;45, "35-44",
     E59&lt;55, "45-54",
     E59&lt;65, "55-64",
     TRUE, "65+")</f>
        <v>45-54</v>
      </c>
      <c r="G59" t="s">
        <v>20</v>
      </c>
      <c r="H59" t="s">
        <v>36</v>
      </c>
      <c r="I59" s="2">
        <v>89.99</v>
      </c>
      <c r="J59">
        <v>1</v>
      </c>
      <c r="K59" s="2">
        <v>89.99</v>
      </c>
      <c r="L59" t="s">
        <v>25</v>
      </c>
      <c r="M59" t="s">
        <v>26</v>
      </c>
      <c r="N59">
        <v>8.6999999999999993</v>
      </c>
    </row>
    <row r="60" spans="1:14">
      <c r="A60">
        <v>59</v>
      </c>
      <c r="B60" s="1">
        <v>45089</v>
      </c>
      <c r="C60">
        <v>105</v>
      </c>
      <c r="D60" t="s">
        <v>14</v>
      </c>
      <c r="E60">
        <v>44</v>
      </c>
      <c r="F60" t="str" cm="1">
        <f t="array" ref="F60">_xlfn.IFS(E60&lt;18, "0-17",
     E60&lt;25, "18-24",
     E60&lt;35, "25-34",
     E60&lt;45, "35-44",
     E60&lt;55, "45-54",
     E60&lt;65, "55-64",
     TRUE, "65+")</f>
        <v>35-44</v>
      </c>
      <c r="G60" t="s">
        <v>15</v>
      </c>
      <c r="H60" t="s">
        <v>38</v>
      </c>
      <c r="I60" s="2">
        <v>99.99</v>
      </c>
      <c r="J60">
        <v>1</v>
      </c>
      <c r="K60" s="2">
        <v>99.99</v>
      </c>
      <c r="L60" t="s">
        <v>17</v>
      </c>
      <c r="M60" t="s">
        <v>18</v>
      </c>
      <c r="N60">
        <v>3.7</v>
      </c>
    </row>
    <row r="61" spans="1:14">
      <c r="A61">
        <v>60</v>
      </c>
      <c r="B61" s="1">
        <v>45092</v>
      </c>
      <c r="C61">
        <v>159</v>
      </c>
      <c r="D61" t="s">
        <v>19</v>
      </c>
      <c r="E61">
        <v>38</v>
      </c>
      <c r="F61" t="str" cm="1">
        <f t="array" ref="F61">_xlfn.IFS(E61&lt;18, "0-17",
     E61&lt;25, "18-24",
     E61&lt;35, "25-34",
     E61&lt;45, "35-44",
     E61&lt;55, "45-54",
     E61&lt;65, "55-64",
     TRUE, "65+")</f>
        <v>35-44</v>
      </c>
      <c r="G61" t="s">
        <v>23</v>
      </c>
      <c r="H61" t="s">
        <v>37</v>
      </c>
      <c r="I61" s="2">
        <v>24.99</v>
      </c>
      <c r="J61">
        <v>4</v>
      </c>
      <c r="K61" s="2">
        <v>99.96</v>
      </c>
      <c r="L61" t="s">
        <v>22</v>
      </c>
      <c r="M61" t="s">
        <v>18</v>
      </c>
      <c r="N61">
        <v>2.5</v>
      </c>
    </row>
    <row r="62" spans="1:14">
      <c r="A62">
        <v>61</v>
      </c>
      <c r="B62" s="1">
        <v>45095</v>
      </c>
      <c r="C62">
        <v>132</v>
      </c>
      <c r="D62" t="s">
        <v>14</v>
      </c>
      <c r="E62">
        <v>59</v>
      </c>
      <c r="F62" t="str" cm="1">
        <f t="array" ref="F62">_xlfn.IFS(E62&lt;18, "0-17",
     E62&lt;25, "18-24",
     E62&lt;35, "25-34",
     E62&lt;45, "35-44",
     E62&lt;55, "45-54",
     E62&lt;65, "55-64",
     TRUE, "65+")</f>
        <v>55-64</v>
      </c>
      <c r="G62" t="s">
        <v>28</v>
      </c>
      <c r="H62" t="s">
        <v>43</v>
      </c>
      <c r="I62" s="2">
        <v>13.99</v>
      </c>
      <c r="J62">
        <v>2</v>
      </c>
      <c r="K62" s="2">
        <v>27.98</v>
      </c>
      <c r="L62" t="s">
        <v>17</v>
      </c>
      <c r="M62" t="s">
        <v>18</v>
      </c>
      <c r="N62">
        <v>9.4</v>
      </c>
    </row>
    <row r="63" spans="1:14">
      <c r="A63">
        <v>62</v>
      </c>
      <c r="B63" s="1">
        <v>45097</v>
      </c>
      <c r="C63">
        <v>109</v>
      </c>
      <c r="D63" t="s">
        <v>19</v>
      </c>
      <c r="E63">
        <v>29</v>
      </c>
      <c r="F63" t="str" cm="1">
        <f t="array" ref="F63">_xlfn.IFS(E63&lt;18, "0-17",
     E63&lt;25, "18-24",
     E63&lt;35, "25-34",
     E63&lt;45, "35-44",
     E63&lt;55, "45-54",
     E63&lt;65, "55-64",
     TRUE, "65+")</f>
        <v>25-34</v>
      </c>
      <c r="G63" t="s">
        <v>20</v>
      </c>
      <c r="H63" t="s">
        <v>44</v>
      </c>
      <c r="I63" s="2">
        <v>10.99</v>
      </c>
      <c r="J63">
        <v>5</v>
      </c>
      <c r="K63" s="2">
        <v>54.95</v>
      </c>
      <c r="L63" t="s">
        <v>17</v>
      </c>
      <c r="M63" t="s">
        <v>26</v>
      </c>
      <c r="N63">
        <v>0.3</v>
      </c>
    </row>
    <row r="64" spans="1:14">
      <c r="A64">
        <v>63</v>
      </c>
      <c r="B64" s="1">
        <v>45099</v>
      </c>
      <c r="C64">
        <v>117</v>
      </c>
      <c r="D64" t="s">
        <v>14</v>
      </c>
      <c r="E64">
        <v>46</v>
      </c>
      <c r="F64" t="str" cm="1">
        <f t="array" ref="F64">_xlfn.IFS(E64&lt;18, "0-17",
     E64&lt;25, "18-24",
     E64&lt;35, "25-34",
     E64&lt;45, "35-44",
     E64&lt;55, "45-54",
     E64&lt;65, "55-64",
     TRUE, "65+")</f>
        <v>45-54</v>
      </c>
      <c r="G64" t="s">
        <v>15</v>
      </c>
      <c r="H64" t="s">
        <v>48</v>
      </c>
      <c r="I64" s="2">
        <v>29.99</v>
      </c>
      <c r="J64">
        <v>1</v>
      </c>
      <c r="K64" s="2">
        <v>29.99</v>
      </c>
      <c r="L64" t="s">
        <v>31</v>
      </c>
      <c r="M64" t="s">
        <v>18</v>
      </c>
      <c r="N64">
        <v>6.5</v>
      </c>
    </row>
    <row r="65" spans="1:14">
      <c r="A65">
        <v>64</v>
      </c>
      <c r="B65" s="1">
        <v>45102</v>
      </c>
      <c r="C65">
        <v>101</v>
      </c>
      <c r="D65" t="s">
        <v>19</v>
      </c>
      <c r="E65">
        <v>68</v>
      </c>
      <c r="F65" t="str" cm="1">
        <f t="array" ref="F65">_xlfn.IFS(E65&lt;18, "0-17",
     E65&lt;25, "18-24",
     E65&lt;35, "25-34",
     E65&lt;45, "35-44",
     E65&lt;55, "45-54",
     E65&lt;65, "55-64",
     TRUE, "65+")</f>
        <v>65+</v>
      </c>
      <c r="G65" t="s">
        <v>23</v>
      </c>
      <c r="H65" t="s">
        <v>41</v>
      </c>
      <c r="I65" s="2">
        <v>159.99</v>
      </c>
      <c r="J65">
        <v>1</v>
      </c>
      <c r="K65" s="2">
        <v>159.99</v>
      </c>
      <c r="L65" t="s">
        <v>17</v>
      </c>
      <c r="M65" t="s">
        <v>18</v>
      </c>
      <c r="N65">
        <v>9.6999999999999993</v>
      </c>
    </row>
    <row r="66" spans="1:14">
      <c r="A66">
        <v>65</v>
      </c>
      <c r="B66" s="1">
        <v>45105</v>
      </c>
      <c r="C66">
        <v>126</v>
      </c>
      <c r="D66" t="s">
        <v>14</v>
      </c>
      <c r="E66">
        <v>34</v>
      </c>
      <c r="F66" t="str" cm="1">
        <f t="array" ref="F66">_xlfn.IFS(E66&lt;18, "0-17",
     E66&lt;25, "18-24",
     E66&lt;35, "25-34",
     E66&lt;45, "35-44",
     E66&lt;55, "45-54",
     E66&lt;65, "55-64",
     TRUE, "65+")</f>
        <v>25-34</v>
      </c>
      <c r="G66" t="s">
        <v>28</v>
      </c>
      <c r="H66" t="s">
        <v>50</v>
      </c>
      <c r="I66" s="2">
        <v>45.99</v>
      </c>
      <c r="J66">
        <v>2</v>
      </c>
      <c r="K66" s="2">
        <v>91.98</v>
      </c>
      <c r="L66" t="s">
        <v>17</v>
      </c>
      <c r="M66" t="s">
        <v>18</v>
      </c>
      <c r="N66">
        <v>3.1</v>
      </c>
    </row>
    <row r="67" spans="1:14">
      <c r="A67">
        <v>66</v>
      </c>
      <c r="B67" s="1">
        <v>45107</v>
      </c>
      <c r="C67">
        <v>160</v>
      </c>
      <c r="D67" t="s">
        <v>19</v>
      </c>
      <c r="E67">
        <v>27</v>
      </c>
      <c r="F67" t="str" cm="1">
        <f t="array" ref="F67">_xlfn.IFS(E67&lt;18, "0-17",
     E67&lt;25, "18-24",
     E67&lt;35, "25-34",
     E67&lt;45, "35-44",
     E67&lt;55, "45-54",
     E67&lt;65, "55-64",
     TRUE, "65+")</f>
        <v>25-34</v>
      </c>
      <c r="G67" t="s">
        <v>20</v>
      </c>
      <c r="H67" t="s">
        <v>21</v>
      </c>
      <c r="I67" s="2">
        <v>39.99</v>
      </c>
      <c r="J67">
        <v>1</v>
      </c>
      <c r="K67" s="2">
        <v>39.99</v>
      </c>
      <c r="L67" t="s">
        <v>22</v>
      </c>
      <c r="M67" t="s">
        <v>18</v>
      </c>
      <c r="N67">
        <v>5.6</v>
      </c>
    </row>
    <row r="68" spans="1:14">
      <c r="A68">
        <v>67</v>
      </c>
      <c r="B68" s="1">
        <v>45110</v>
      </c>
      <c r="C68">
        <v>115</v>
      </c>
      <c r="D68" t="s">
        <v>14</v>
      </c>
      <c r="E68">
        <v>60</v>
      </c>
      <c r="F68" t="str" cm="1">
        <f t="array" ref="F68">_xlfn.IFS(E68&lt;18, "0-17",
     E68&lt;25, "18-24",
     E68&lt;35, "25-34",
     E68&lt;45, "35-44",
     E68&lt;55, "45-54",
     E68&lt;65, "55-64",
     TRUE, "65+")</f>
        <v>55-64</v>
      </c>
      <c r="G68" t="s">
        <v>15</v>
      </c>
      <c r="H68" t="s">
        <v>46</v>
      </c>
      <c r="I68" s="2">
        <v>79.989999999999995</v>
      </c>
      <c r="J68">
        <v>2</v>
      </c>
      <c r="K68" s="2">
        <v>159.97999999999999</v>
      </c>
      <c r="L68" t="s">
        <v>17</v>
      </c>
      <c r="M68" t="s">
        <v>26</v>
      </c>
      <c r="N68">
        <v>0.1</v>
      </c>
    </row>
    <row r="69" spans="1:14">
      <c r="A69">
        <v>68</v>
      </c>
      <c r="B69" s="1">
        <v>45112</v>
      </c>
      <c r="C69">
        <v>166</v>
      </c>
      <c r="D69" t="s">
        <v>19</v>
      </c>
      <c r="E69">
        <v>48</v>
      </c>
      <c r="F69" t="str" cm="1">
        <f t="array" ref="F69">_xlfn.IFS(E69&lt;18, "0-17",
     E69&lt;25, "18-24",
     E69&lt;35, "25-34",
     E69&lt;45, "35-44",
     E69&lt;55, "45-54",
     E69&lt;65, "55-64",
     TRUE, "65+")</f>
        <v>45-54</v>
      </c>
      <c r="G69" t="s">
        <v>23</v>
      </c>
      <c r="H69" t="s">
        <v>45</v>
      </c>
      <c r="I69" s="2">
        <v>65.989999999999995</v>
      </c>
      <c r="J69">
        <v>1</v>
      </c>
      <c r="K69" s="2">
        <v>65.989999999999995</v>
      </c>
      <c r="L69" t="s">
        <v>25</v>
      </c>
      <c r="M69" t="s">
        <v>18</v>
      </c>
      <c r="N69">
        <v>4.9000000000000004</v>
      </c>
    </row>
    <row r="70" spans="1:14">
      <c r="A70">
        <v>69</v>
      </c>
      <c r="B70" s="1">
        <v>45115</v>
      </c>
      <c r="C70">
        <v>120</v>
      </c>
      <c r="D70" t="s">
        <v>19</v>
      </c>
      <c r="E70">
        <v>33</v>
      </c>
      <c r="F70" t="str" cm="1">
        <f t="array" ref="F70">_xlfn.IFS(E70&lt;18, "0-17",
     E70&lt;25, "18-24",
     E70&lt;35, "25-34",
     E70&lt;45, "35-44",
     E70&lt;55, "45-54",
     E70&lt;65, "55-64",
     TRUE, "65+")</f>
        <v>25-34</v>
      </c>
      <c r="G70" t="s">
        <v>28</v>
      </c>
      <c r="H70" t="s">
        <v>29</v>
      </c>
      <c r="I70" s="2">
        <v>35.99</v>
      </c>
      <c r="J70">
        <v>2</v>
      </c>
      <c r="K70" s="2">
        <v>71.98</v>
      </c>
      <c r="L70" t="s">
        <v>17</v>
      </c>
      <c r="M70" t="s">
        <v>18</v>
      </c>
      <c r="N70">
        <v>2.1</v>
      </c>
    </row>
    <row r="71" spans="1:14">
      <c r="A71">
        <v>70</v>
      </c>
      <c r="B71" s="1">
        <v>45117</v>
      </c>
      <c r="C71">
        <v>158</v>
      </c>
      <c r="D71" t="s">
        <v>14</v>
      </c>
      <c r="E71">
        <v>67</v>
      </c>
      <c r="F71" t="str" cm="1">
        <f t="array" ref="F71">_xlfn.IFS(E71&lt;18, "0-17",
     E71&lt;25, "18-24",
     E71&lt;35, "25-34",
     E71&lt;45, "35-44",
     E71&lt;55, "45-54",
     E71&lt;65, "55-64",
     TRUE, "65+")</f>
        <v>65+</v>
      </c>
      <c r="G71" t="s">
        <v>20</v>
      </c>
      <c r="H71" t="s">
        <v>40</v>
      </c>
      <c r="I71" s="2">
        <v>95.99</v>
      </c>
      <c r="J71">
        <v>1</v>
      </c>
      <c r="K71" s="2">
        <v>95.99</v>
      </c>
      <c r="L71" t="s">
        <v>17</v>
      </c>
      <c r="M71" t="s">
        <v>18</v>
      </c>
      <c r="N71">
        <v>2.2000000000000002</v>
      </c>
    </row>
    <row r="72" spans="1:14">
      <c r="A72">
        <v>71</v>
      </c>
      <c r="B72" s="1">
        <v>45119</v>
      </c>
      <c r="C72">
        <v>113</v>
      </c>
      <c r="D72" t="s">
        <v>19</v>
      </c>
      <c r="E72">
        <v>26</v>
      </c>
      <c r="F72" t="str" cm="1">
        <f t="array" ref="F72">_xlfn.IFS(E72&lt;18, "0-17",
     E72&lt;25, "18-24",
     E72&lt;35, "25-34",
     E72&lt;45, "35-44",
     E72&lt;55, "45-54",
     E72&lt;65, "55-64",
     TRUE, "65+")</f>
        <v>25-34</v>
      </c>
      <c r="G72" t="s">
        <v>15</v>
      </c>
      <c r="H72" t="s">
        <v>42</v>
      </c>
      <c r="I72" s="2">
        <v>229.99</v>
      </c>
      <c r="J72">
        <v>1</v>
      </c>
      <c r="K72" s="2">
        <v>229.99</v>
      </c>
      <c r="L72" t="s">
        <v>22</v>
      </c>
      <c r="M72" t="s">
        <v>26</v>
      </c>
      <c r="N72">
        <v>0.5</v>
      </c>
    </row>
    <row r="73" spans="1:14">
      <c r="A73">
        <v>72</v>
      </c>
      <c r="B73" s="1">
        <v>45122</v>
      </c>
      <c r="C73">
        <v>115</v>
      </c>
      <c r="D73" t="s">
        <v>14</v>
      </c>
      <c r="E73">
        <v>54</v>
      </c>
      <c r="F73" t="str" cm="1">
        <f t="array" ref="F73">_xlfn.IFS(E73&lt;18, "0-17",
     E73&lt;25, "18-24",
     E73&lt;35, "25-34",
     E73&lt;45, "35-44",
     E73&lt;55, "45-54",
     E73&lt;65, "55-64",
     TRUE, "65+")</f>
        <v>45-54</v>
      </c>
      <c r="G73" t="s">
        <v>23</v>
      </c>
      <c r="H73" t="s">
        <v>49</v>
      </c>
      <c r="I73" s="2">
        <v>27.99</v>
      </c>
      <c r="J73">
        <v>3</v>
      </c>
      <c r="K73" s="2">
        <v>83.97</v>
      </c>
      <c r="L73" t="s">
        <v>17</v>
      </c>
      <c r="M73" t="s">
        <v>18</v>
      </c>
      <c r="N73">
        <v>0.1</v>
      </c>
    </row>
    <row r="74" spans="1:14">
      <c r="A74">
        <v>73</v>
      </c>
      <c r="B74" s="1">
        <v>45125</v>
      </c>
      <c r="C74">
        <v>131</v>
      </c>
      <c r="D74" t="s">
        <v>19</v>
      </c>
      <c r="E74">
        <v>49</v>
      </c>
      <c r="F74" t="str" cm="1">
        <f t="array" ref="F74">_xlfn.IFS(E74&lt;18, "0-17",
     E74&lt;25, "18-24",
     E74&lt;35, "25-34",
     E74&lt;45, "35-44",
     E74&lt;55, "45-54",
     E74&lt;65, "55-64",
     TRUE, "65+")</f>
        <v>45-54</v>
      </c>
      <c r="G74" t="s">
        <v>28</v>
      </c>
      <c r="H74" t="s">
        <v>39</v>
      </c>
      <c r="I74" s="2">
        <v>8.99</v>
      </c>
      <c r="J74">
        <v>4</v>
      </c>
      <c r="K74" s="2">
        <v>35.96</v>
      </c>
      <c r="L74" t="s">
        <v>17</v>
      </c>
      <c r="M74" t="s">
        <v>18</v>
      </c>
      <c r="N74">
        <v>2.1</v>
      </c>
    </row>
    <row r="75" spans="1:14">
      <c r="A75">
        <v>74</v>
      </c>
      <c r="B75" s="1">
        <v>45127</v>
      </c>
      <c r="C75">
        <v>123</v>
      </c>
      <c r="D75" t="s">
        <v>14</v>
      </c>
      <c r="E75">
        <v>41</v>
      </c>
      <c r="F75" t="str" cm="1">
        <f t="array" ref="F75">_xlfn.IFS(E75&lt;18, "0-17",
     E75&lt;25, "18-24",
     E75&lt;35, "25-34",
     E75&lt;45, "35-44",
     E75&lt;55, "45-54",
     E75&lt;65, "55-64",
     TRUE, "65+")</f>
        <v>35-44</v>
      </c>
      <c r="G75" t="s">
        <v>20</v>
      </c>
      <c r="H75" t="s">
        <v>47</v>
      </c>
      <c r="I75" s="2">
        <v>17.989999999999998</v>
      </c>
      <c r="J75">
        <v>2</v>
      </c>
      <c r="K75" s="2">
        <v>35.979999999999997</v>
      </c>
      <c r="L75" t="s">
        <v>17</v>
      </c>
      <c r="M75" t="s">
        <v>18</v>
      </c>
      <c r="N75">
        <v>8.9</v>
      </c>
    </row>
    <row r="76" spans="1:14">
      <c r="A76">
        <v>75</v>
      </c>
      <c r="B76" s="1">
        <v>45129</v>
      </c>
      <c r="C76">
        <v>116</v>
      </c>
      <c r="D76" t="s">
        <v>19</v>
      </c>
      <c r="E76">
        <v>63</v>
      </c>
      <c r="F76" t="str" cm="1">
        <f t="array" ref="F76">_xlfn.IFS(E76&lt;18, "0-17",
     E76&lt;25, "18-24",
     E76&lt;35, "25-34",
     E76&lt;45, "35-44",
     E76&lt;55, "45-54",
     E76&lt;65, "55-64",
     TRUE, "65+")</f>
        <v>55-64</v>
      </c>
      <c r="G76" t="s">
        <v>15</v>
      </c>
      <c r="H76" t="s">
        <v>30</v>
      </c>
      <c r="I76" s="2">
        <v>14.99</v>
      </c>
      <c r="J76">
        <v>3</v>
      </c>
      <c r="K76" s="2">
        <v>44.97</v>
      </c>
      <c r="L76" t="s">
        <v>31</v>
      </c>
      <c r="M76" t="s">
        <v>18</v>
      </c>
      <c r="N76">
        <v>3.4</v>
      </c>
    </row>
    <row r="77" spans="1:14">
      <c r="A77">
        <v>76</v>
      </c>
      <c r="B77" s="1">
        <v>45132</v>
      </c>
      <c r="C77">
        <v>128</v>
      </c>
      <c r="D77" t="s">
        <v>14</v>
      </c>
      <c r="E77">
        <v>38</v>
      </c>
      <c r="F77" t="str" cm="1">
        <f t="array" ref="F77">_xlfn.IFS(E77&lt;18, "0-17",
     E77&lt;25, "18-24",
     E77&lt;35, "25-34",
     E77&lt;45, "35-44",
     E77&lt;55, "45-54",
     E77&lt;65, "55-64",
     TRUE, "65+")</f>
        <v>35-44</v>
      </c>
      <c r="G77" t="s">
        <v>23</v>
      </c>
      <c r="H77" t="s">
        <v>33</v>
      </c>
      <c r="I77" s="2">
        <v>49.99</v>
      </c>
      <c r="J77">
        <v>2</v>
      </c>
      <c r="K77" s="2">
        <v>99.98</v>
      </c>
      <c r="L77" t="s">
        <v>17</v>
      </c>
      <c r="M77" t="s">
        <v>26</v>
      </c>
      <c r="N77">
        <v>8.8000000000000007</v>
      </c>
    </row>
    <row r="78" spans="1:14">
      <c r="A78">
        <v>77</v>
      </c>
      <c r="B78" s="1">
        <v>45135</v>
      </c>
      <c r="C78">
        <v>112</v>
      </c>
      <c r="D78" t="s">
        <v>19</v>
      </c>
      <c r="E78">
        <v>55</v>
      </c>
      <c r="F78" t="str" cm="1">
        <f t="array" ref="F78">_xlfn.IFS(E78&lt;18, "0-17",
     E78&lt;25, "18-24",
     E78&lt;35, "25-34",
     E78&lt;45, "35-44",
     E78&lt;55, "45-54",
     E78&lt;65, "55-64",
     TRUE, "65+")</f>
        <v>55-64</v>
      </c>
      <c r="G78" t="s">
        <v>28</v>
      </c>
      <c r="H78" t="s">
        <v>35</v>
      </c>
      <c r="I78" s="2">
        <v>19.989999999999998</v>
      </c>
      <c r="J78">
        <v>1</v>
      </c>
      <c r="K78" s="2">
        <v>19.989999999999998</v>
      </c>
      <c r="L78" t="s">
        <v>17</v>
      </c>
      <c r="M78" t="s">
        <v>18</v>
      </c>
      <c r="N78">
        <v>8.6999999999999993</v>
      </c>
    </row>
    <row r="79" spans="1:14">
      <c r="A79">
        <v>78</v>
      </c>
      <c r="B79" s="1">
        <v>45137</v>
      </c>
      <c r="C79">
        <v>183</v>
      </c>
      <c r="D79" t="s">
        <v>14</v>
      </c>
      <c r="E79">
        <v>30</v>
      </c>
      <c r="F79" t="str" cm="1">
        <f t="array" ref="F79">_xlfn.IFS(E79&lt;18, "0-17",
     E79&lt;25, "18-24",
     E79&lt;35, "25-34",
     E79&lt;45, "35-44",
     E79&lt;55, "45-54",
     E79&lt;65, "55-64",
     TRUE, "65+")</f>
        <v>25-34</v>
      </c>
      <c r="G79" t="s">
        <v>20</v>
      </c>
      <c r="H79" t="s">
        <v>32</v>
      </c>
      <c r="I79" s="2">
        <v>59.99</v>
      </c>
      <c r="J79">
        <v>3</v>
      </c>
      <c r="K79" s="2">
        <v>179.97</v>
      </c>
      <c r="L79" t="s">
        <v>22</v>
      </c>
      <c r="M79" t="s">
        <v>18</v>
      </c>
      <c r="N79">
        <v>3</v>
      </c>
    </row>
    <row r="80" spans="1:14">
      <c r="A80">
        <v>79</v>
      </c>
      <c r="B80" s="1">
        <v>45140</v>
      </c>
      <c r="C80">
        <v>173</v>
      </c>
      <c r="D80" t="s">
        <v>19</v>
      </c>
      <c r="E80">
        <v>44</v>
      </c>
      <c r="F80" t="str" cm="1">
        <f t="array" ref="F80">_xlfn.IFS(E80&lt;18, "0-17",
     E80&lt;25, "18-24",
     E80&lt;35, "25-34",
     E80&lt;45, "35-44",
     E80&lt;55, "45-54",
     E80&lt;65, "55-64",
     TRUE, "65+")</f>
        <v>35-44</v>
      </c>
      <c r="G80" t="s">
        <v>15</v>
      </c>
      <c r="H80" t="s">
        <v>38</v>
      </c>
      <c r="I80" s="2">
        <v>89.99</v>
      </c>
      <c r="J80">
        <v>1</v>
      </c>
      <c r="K80" s="2">
        <v>89.99</v>
      </c>
      <c r="L80" t="s">
        <v>17</v>
      </c>
      <c r="M80" t="s">
        <v>18</v>
      </c>
      <c r="N80">
        <v>6.9</v>
      </c>
    </row>
    <row r="81" spans="1:14">
      <c r="A81">
        <v>80</v>
      </c>
      <c r="B81" s="1">
        <v>45143</v>
      </c>
      <c r="C81">
        <v>120</v>
      </c>
      <c r="D81" t="s">
        <v>14</v>
      </c>
      <c r="E81">
        <v>35</v>
      </c>
      <c r="F81" t="str" cm="1">
        <f t="array" ref="F81">_xlfn.IFS(E81&lt;18, "0-17",
     E81&lt;25, "18-24",
     E81&lt;35, "25-34",
     E81&lt;45, "35-44",
     E81&lt;55, "45-54",
     E81&lt;65, "55-64",
     TRUE, "65+")</f>
        <v>35-44</v>
      </c>
      <c r="G81" t="s">
        <v>23</v>
      </c>
      <c r="H81" t="s">
        <v>37</v>
      </c>
      <c r="I81" s="2">
        <v>21.99</v>
      </c>
      <c r="J81">
        <v>4</v>
      </c>
      <c r="K81" s="2">
        <v>87.96</v>
      </c>
      <c r="L81" t="s">
        <v>17</v>
      </c>
      <c r="M81" t="s">
        <v>26</v>
      </c>
      <c r="N81">
        <v>2.1</v>
      </c>
    </row>
    <row r="82" spans="1:14">
      <c r="A82">
        <v>81</v>
      </c>
      <c r="B82" s="1">
        <v>45146</v>
      </c>
      <c r="C82">
        <v>166</v>
      </c>
      <c r="D82" t="s">
        <v>19</v>
      </c>
      <c r="E82">
        <v>57</v>
      </c>
      <c r="F82" t="str" cm="1">
        <f t="array" ref="F82">_xlfn.IFS(E82&lt;18, "0-17",
     E82&lt;25, "18-24",
     E82&lt;35, "25-34",
     E82&lt;45, "35-44",
     E82&lt;55, "45-54",
     E82&lt;65, "55-64",
     TRUE, "65+")</f>
        <v>55-64</v>
      </c>
      <c r="G82" t="s">
        <v>28</v>
      </c>
      <c r="H82" t="s">
        <v>43</v>
      </c>
      <c r="I82" s="2">
        <v>15.99</v>
      </c>
      <c r="J82">
        <v>2</v>
      </c>
      <c r="K82" s="2">
        <v>31.98</v>
      </c>
      <c r="L82" t="s">
        <v>25</v>
      </c>
      <c r="M82" t="s">
        <v>18</v>
      </c>
      <c r="N82">
        <v>4.9000000000000004</v>
      </c>
    </row>
    <row r="83" spans="1:14">
      <c r="A83">
        <v>82</v>
      </c>
      <c r="B83" s="1">
        <v>45148</v>
      </c>
      <c r="C83">
        <v>190</v>
      </c>
      <c r="D83" t="s">
        <v>14</v>
      </c>
      <c r="E83">
        <v>69</v>
      </c>
      <c r="F83" t="str" cm="1">
        <f t="array" ref="F83">_xlfn.IFS(E83&lt;18, "0-17",
     E83&lt;25, "18-24",
     E83&lt;35, "25-34",
     E83&lt;45, "35-44",
     E83&lt;55, "45-54",
     E83&lt;65, "55-64",
     TRUE, "65+")</f>
        <v>65+</v>
      </c>
      <c r="G83" t="s">
        <v>20</v>
      </c>
      <c r="H83" t="s">
        <v>44</v>
      </c>
      <c r="I83" s="2">
        <v>11.99</v>
      </c>
      <c r="J83">
        <v>3</v>
      </c>
      <c r="K83" s="2">
        <v>35.97</v>
      </c>
      <c r="L83" t="s">
        <v>17</v>
      </c>
      <c r="M83" t="s">
        <v>18</v>
      </c>
      <c r="N83">
        <v>8.4</v>
      </c>
    </row>
    <row r="84" spans="1:14">
      <c r="A84">
        <v>83</v>
      </c>
      <c r="B84" s="1">
        <v>45150</v>
      </c>
      <c r="C84">
        <v>154</v>
      </c>
      <c r="D84" t="s">
        <v>19</v>
      </c>
      <c r="E84">
        <v>43</v>
      </c>
      <c r="F84" t="str" cm="1">
        <f t="array" ref="F84">_xlfn.IFS(E84&lt;18, "0-17",
     E84&lt;25, "18-24",
     E84&lt;35, "25-34",
     E84&lt;45, "35-44",
     E84&lt;55, "45-54",
     E84&lt;65, "55-64",
     TRUE, "65+")</f>
        <v>35-44</v>
      </c>
      <c r="G84" t="s">
        <v>15</v>
      </c>
      <c r="H84" t="s">
        <v>16</v>
      </c>
      <c r="I84" s="2">
        <v>54.99</v>
      </c>
      <c r="J84">
        <v>2</v>
      </c>
      <c r="K84" s="2">
        <v>109.98</v>
      </c>
      <c r="L84" t="s">
        <v>17</v>
      </c>
      <c r="M84" t="s">
        <v>18</v>
      </c>
      <c r="N84">
        <v>2.5</v>
      </c>
    </row>
    <row r="85" spans="1:14">
      <c r="A85">
        <v>84</v>
      </c>
      <c r="B85" s="1">
        <v>45153</v>
      </c>
      <c r="C85">
        <v>193</v>
      </c>
      <c r="D85" t="s">
        <v>14</v>
      </c>
      <c r="E85">
        <v>52</v>
      </c>
      <c r="F85" t="str" cm="1">
        <f t="array" ref="F85">_xlfn.IFS(E85&lt;18, "0-17",
     E85&lt;25, "18-24",
     E85&lt;35, "25-34",
     E85&lt;45, "35-44",
     E85&lt;55, "45-54",
     E85&lt;65, "55-64",
     TRUE, "65+")</f>
        <v>45-54</v>
      </c>
      <c r="G85" t="s">
        <v>23</v>
      </c>
      <c r="H85" t="s">
        <v>24</v>
      </c>
      <c r="I85" s="2">
        <v>32.99</v>
      </c>
      <c r="J85">
        <v>1</v>
      </c>
      <c r="K85" s="2">
        <v>32.99</v>
      </c>
      <c r="L85" t="s">
        <v>22</v>
      </c>
      <c r="M85" t="s">
        <v>26</v>
      </c>
      <c r="N85">
        <v>2.2999999999999998</v>
      </c>
    </row>
    <row r="86" spans="1:14">
      <c r="A86">
        <v>85</v>
      </c>
      <c r="B86" s="1">
        <v>45156</v>
      </c>
      <c r="C86">
        <v>185</v>
      </c>
      <c r="D86" t="s">
        <v>19</v>
      </c>
      <c r="E86">
        <v>31</v>
      </c>
      <c r="F86" t="str" cm="1">
        <f t="array" ref="F86">_xlfn.IFS(E86&lt;18, "0-17",
     E86&lt;25, "18-24",
     E86&lt;35, "25-34",
     E86&lt;45, "35-44",
     E86&lt;55, "45-54",
     E86&lt;65, "55-64",
     TRUE, "65+")</f>
        <v>25-34</v>
      </c>
      <c r="G86" t="s">
        <v>28</v>
      </c>
      <c r="H86" t="s">
        <v>50</v>
      </c>
      <c r="I86" s="2">
        <v>49.99</v>
      </c>
      <c r="J86">
        <v>1</v>
      </c>
      <c r="K86" s="2">
        <v>49.99</v>
      </c>
      <c r="L86" t="s">
        <v>17</v>
      </c>
      <c r="M86" t="s">
        <v>18</v>
      </c>
      <c r="N86">
        <v>4.5</v>
      </c>
    </row>
    <row r="87" spans="1:14">
      <c r="A87">
        <v>86</v>
      </c>
      <c r="B87" s="1">
        <v>45158</v>
      </c>
      <c r="C87">
        <v>190</v>
      </c>
      <c r="D87" t="s">
        <v>14</v>
      </c>
      <c r="E87">
        <v>64</v>
      </c>
      <c r="F87" t="str" cm="1">
        <f t="array" ref="F87">_xlfn.IFS(E87&lt;18, "0-17",
     E87&lt;25, "18-24",
     E87&lt;35, "25-34",
     E87&lt;45, "35-44",
     E87&lt;55, "45-54",
     E87&lt;65, "55-64",
     TRUE, "65+")</f>
        <v>55-64</v>
      </c>
      <c r="G87" t="s">
        <v>20</v>
      </c>
      <c r="H87" t="s">
        <v>21</v>
      </c>
      <c r="I87" s="2">
        <v>44.99</v>
      </c>
      <c r="J87">
        <v>2</v>
      </c>
      <c r="K87" s="2">
        <v>89.98</v>
      </c>
      <c r="L87" t="s">
        <v>17</v>
      </c>
      <c r="M87" t="s">
        <v>18</v>
      </c>
      <c r="N87">
        <v>8.4</v>
      </c>
    </row>
    <row r="88" spans="1:14">
      <c r="A88">
        <v>87</v>
      </c>
      <c r="B88" s="1">
        <v>45160</v>
      </c>
      <c r="C88">
        <v>166</v>
      </c>
      <c r="D88" t="s">
        <v>19</v>
      </c>
      <c r="E88">
        <v>39</v>
      </c>
      <c r="F88" t="str" cm="1">
        <f t="array" ref="F88">_xlfn.IFS(E88&lt;18, "0-17",
     E88&lt;25, "18-24",
     E88&lt;35, "25-34",
     E88&lt;45, "35-44",
     E88&lt;55, "45-54",
     E88&lt;65, "55-64",
     TRUE, "65+")</f>
        <v>35-44</v>
      </c>
      <c r="G88" t="s">
        <v>15</v>
      </c>
      <c r="H88" t="s">
        <v>34</v>
      </c>
      <c r="I88" s="2">
        <v>18.989999999999998</v>
      </c>
      <c r="J88">
        <v>4</v>
      </c>
      <c r="K88" s="2">
        <v>75.959999999999994</v>
      </c>
      <c r="L88" t="s">
        <v>17</v>
      </c>
      <c r="M88" t="s">
        <v>18</v>
      </c>
      <c r="N88">
        <v>4.9000000000000004</v>
      </c>
    </row>
    <row r="89" spans="1:14">
      <c r="A89">
        <v>88</v>
      </c>
      <c r="B89" s="1">
        <v>45163</v>
      </c>
      <c r="C89">
        <v>107</v>
      </c>
      <c r="D89" t="s">
        <v>14</v>
      </c>
      <c r="E89">
        <v>25</v>
      </c>
      <c r="F89" t="str" cm="1">
        <f t="array" ref="F89">_xlfn.IFS(E89&lt;18, "0-17",
     E89&lt;25, "18-24",
     E89&lt;35, "25-34",
     E89&lt;45, "35-44",
     E89&lt;55, "45-54",
     E89&lt;65, "55-64",
     TRUE, "65+")</f>
        <v>25-34</v>
      </c>
      <c r="G89" t="s">
        <v>23</v>
      </c>
      <c r="H89" t="s">
        <v>41</v>
      </c>
      <c r="I89" s="2">
        <v>129.99</v>
      </c>
      <c r="J89">
        <v>1</v>
      </c>
      <c r="K89" s="2">
        <v>129.99</v>
      </c>
      <c r="L89" t="s">
        <v>31</v>
      </c>
      <c r="M89" t="s">
        <v>18</v>
      </c>
      <c r="N89">
        <v>6</v>
      </c>
    </row>
    <row r="90" spans="1:14">
      <c r="A90">
        <v>89</v>
      </c>
      <c r="B90" s="1">
        <v>45166</v>
      </c>
      <c r="C90">
        <v>199</v>
      </c>
      <c r="D90" t="s">
        <v>19</v>
      </c>
      <c r="E90">
        <v>47</v>
      </c>
      <c r="F90" t="str" cm="1">
        <f t="array" ref="F90">_xlfn.IFS(E90&lt;18, "0-17",
     E90&lt;25, "18-24",
     E90&lt;35, "25-34",
     E90&lt;45, "35-44",
     E90&lt;55, "45-54",
     E90&lt;65, "55-64",
     TRUE, "65+")</f>
        <v>45-54</v>
      </c>
      <c r="G90" t="s">
        <v>28</v>
      </c>
      <c r="H90" t="s">
        <v>29</v>
      </c>
      <c r="I90" s="2">
        <v>38.99</v>
      </c>
      <c r="J90">
        <v>2</v>
      </c>
      <c r="K90" s="2">
        <v>77.98</v>
      </c>
      <c r="L90" t="s">
        <v>17</v>
      </c>
      <c r="M90" t="s">
        <v>26</v>
      </c>
      <c r="N90">
        <v>1.9</v>
      </c>
    </row>
    <row r="91" spans="1:14">
      <c r="A91">
        <v>90</v>
      </c>
      <c r="B91" s="1">
        <v>45168</v>
      </c>
      <c r="C91">
        <v>126</v>
      </c>
      <c r="D91" t="s">
        <v>14</v>
      </c>
      <c r="E91">
        <v>33</v>
      </c>
      <c r="F91" t="str" cm="1">
        <f t="array" ref="F91">_xlfn.IFS(E91&lt;18, "0-17",
     E91&lt;25, "18-24",
     E91&lt;35, "25-34",
     E91&lt;45, "35-44",
     E91&lt;55, "45-54",
     E91&lt;65, "55-64",
     TRUE, "65+")</f>
        <v>25-34</v>
      </c>
      <c r="G91" t="s">
        <v>20</v>
      </c>
      <c r="H91" t="s">
        <v>36</v>
      </c>
      <c r="I91" s="2">
        <v>84.99</v>
      </c>
      <c r="J91">
        <v>1</v>
      </c>
      <c r="K91" s="2">
        <v>84.99</v>
      </c>
      <c r="L91" t="s">
        <v>17</v>
      </c>
      <c r="M91" t="s">
        <v>18</v>
      </c>
      <c r="N91">
        <v>3.1</v>
      </c>
    </row>
    <row r="92" spans="1:14">
      <c r="A92">
        <v>91</v>
      </c>
      <c r="B92" s="1">
        <v>45171</v>
      </c>
      <c r="C92">
        <v>191</v>
      </c>
      <c r="D92" t="s">
        <v>19</v>
      </c>
      <c r="E92">
        <v>58</v>
      </c>
      <c r="F92" t="str" cm="1">
        <f t="array" ref="F92">_xlfn.IFS(E92&lt;18, "0-17",
     E92&lt;25, "18-24",
     E92&lt;35, "25-34",
     E92&lt;45, "35-44",
     E92&lt;55, "45-54",
     E92&lt;65, "55-64",
     TRUE, "65+")</f>
        <v>55-64</v>
      </c>
      <c r="G92" t="s">
        <v>15</v>
      </c>
      <c r="H92" t="s">
        <v>42</v>
      </c>
      <c r="I92" s="2">
        <v>199.99</v>
      </c>
      <c r="J92">
        <v>1</v>
      </c>
      <c r="K92" s="2">
        <v>199.99</v>
      </c>
      <c r="L92" t="s">
        <v>22</v>
      </c>
      <c r="M92" t="s">
        <v>18</v>
      </c>
      <c r="N92">
        <v>9.4</v>
      </c>
    </row>
    <row r="93" spans="1:14">
      <c r="A93">
        <v>92</v>
      </c>
      <c r="B93" s="1">
        <v>45174</v>
      </c>
      <c r="C93">
        <v>185</v>
      </c>
      <c r="D93" t="s">
        <v>14</v>
      </c>
      <c r="E93">
        <v>29</v>
      </c>
      <c r="F93" t="str" cm="1">
        <f t="array" ref="F93">_xlfn.IFS(E93&lt;18, "0-17",
     E93&lt;25, "18-24",
     E93&lt;35, "25-34",
     E93&lt;45, "35-44",
     E93&lt;55, "45-54",
     E93&lt;65, "55-64",
     TRUE, "65+")</f>
        <v>25-34</v>
      </c>
      <c r="G93" t="s">
        <v>23</v>
      </c>
      <c r="H93" t="s">
        <v>45</v>
      </c>
      <c r="I93" s="2">
        <v>59.99</v>
      </c>
      <c r="J93">
        <v>2</v>
      </c>
      <c r="K93" s="2">
        <v>119.98</v>
      </c>
      <c r="L93" t="s">
        <v>17</v>
      </c>
      <c r="M93" t="s">
        <v>18</v>
      </c>
      <c r="N93">
        <v>4.5</v>
      </c>
    </row>
    <row r="94" spans="1:14">
      <c r="A94">
        <v>93</v>
      </c>
      <c r="B94" s="1">
        <v>45177</v>
      </c>
      <c r="C94">
        <v>146</v>
      </c>
      <c r="D94" t="s">
        <v>19</v>
      </c>
      <c r="E94">
        <v>45</v>
      </c>
      <c r="F94" t="str" cm="1">
        <f t="array" ref="F94">_xlfn.IFS(E94&lt;18, "0-17",
     E94&lt;25, "18-24",
     E94&lt;35, "25-34",
     E94&lt;45, "35-44",
     E94&lt;55, "45-54",
     E94&lt;65, "55-64",
     TRUE, "65+")</f>
        <v>45-54</v>
      </c>
      <c r="G94" t="s">
        <v>28</v>
      </c>
      <c r="H94" t="s">
        <v>39</v>
      </c>
      <c r="I94" s="2">
        <v>9.99</v>
      </c>
      <c r="J94">
        <v>3</v>
      </c>
      <c r="K94" s="2">
        <v>29.97</v>
      </c>
      <c r="L94" t="s">
        <v>17</v>
      </c>
      <c r="M94" t="s">
        <v>18</v>
      </c>
      <c r="N94">
        <v>5.5</v>
      </c>
    </row>
    <row r="95" spans="1:14">
      <c r="A95">
        <v>94</v>
      </c>
      <c r="B95" s="1">
        <v>45179</v>
      </c>
      <c r="C95">
        <v>150</v>
      </c>
      <c r="D95" t="s">
        <v>14</v>
      </c>
      <c r="E95">
        <v>37</v>
      </c>
      <c r="F95" t="str" cm="1">
        <f t="array" ref="F95">_xlfn.IFS(E95&lt;18, "0-17",
     E95&lt;25, "18-24",
     E95&lt;35, "25-34",
     E95&lt;45, "35-44",
     E95&lt;55, "45-54",
     E95&lt;65, "55-64",
     TRUE, "65+")</f>
        <v>35-44</v>
      </c>
      <c r="G95" t="s">
        <v>20</v>
      </c>
      <c r="H95" t="s">
        <v>32</v>
      </c>
      <c r="I95" s="2">
        <v>64.989999999999995</v>
      </c>
      <c r="J95">
        <v>1</v>
      </c>
      <c r="K95" s="2">
        <v>64.989999999999995</v>
      </c>
      <c r="L95" t="s">
        <v>25</v>
      </c>
      <c r="M95" t="s">
        <v>26</v>
      </c>
      <c r="N95">
        <v>7.6</v>
      </c>
    </row>
    <row r="96" spans="1:14">
      <c r="A96">
        <v>95</v>
      </c>
      <c r="B96" s="1">
        <v>45181</v>
      </c>
      <c r="C96">
        <v>146</v>
      </c>
      <c r="D96" t="s">
        <v>19</v>
      </c>
      <c r="E96">
        <v>52</v>
      </c>
      <c r="F96" t="str" cm="1">
        <f t="array" ref="F96">_xlfn.IFS(E96&lt;18, "0-17",
     E96&lt;25, "18-24",
     E96&lt;35, "25-34",
     E96&lt;45, "35-44",
     E96&lt;55, "45-54",
     E96&lt;65, "55-64",
     TRUE, "65+")</f>
        <v>45-54</v>
      </c>
      <c r="G96" t="s">
        <v>15</v>
      </c>
      <c r="H96" t="s">
        <v>46</v>
      </c>
      <c r="I96" s="2">
        <v>89.99</v>
      </c>
      <c r="J96">
        <v>2</v>
      </c>
      <c r="K96" s="2">
        <v>179.98</v>
      </c>
      <c r="L96" t="s">
        <v>17</v>
      </c>
      <c r="M96" t="s">
        <v>18</v>
      </c>
      <c r="N96">
        <v>5.5</v>
      </c>
    </row>
    <row r="97" spans="1:14">
      <c r="A97">
        <v>96</v>
      </c>
      <c r="B97" s="1">
        <v>45184</v>
      </c>
      <c r="C97">
        <v>172</v>
      </c>
      <c r="D97" t="s">
        <v>14</v>
      </c>
      <c r="E97">
        <v>26</v>
      </c>
      <c r="F97" t="str" cm="1">
        <f t="array" ref="F97">_xlfn.IFS(E97&lt;18, "0-17",
     E97&lt;25, "18-24",
     E97&lt;35, "25-34",
     E97&lt;45, "35-44",
     E97&lt;55, "45-54",
     E97&lt;65, "55-64",
     TRUE, "65+")</f>
        <v>25-34</v>
      </c>
      <c r="G97" t="s">
        <v>23</v>
      </c>
      <c r="H97" t="s">
        <v>37</v>
      </c>
      <c r="I97" s="2">
        <v>23.99</v>
      </c>
      <c r="J97">
        <v>4</v>
      </c>
      <c r="K97" s="2">
        <v>95.96</v>
      </c>
      <c r="L97" t="s">
        <v>17</v>
      </c>
      <c r="M97" t="s">
        <v>18</v>
      </c>
      <c r="N97">
        <v>6.2</v>
      </c>
    </row>
    <row r="98" spans="1:14">
      <c r="A98">
        <v>97</v>
      </c>
      <c r="B98" s="1">
        <v>45187</v>
      </c>
      <c r="C98">
        <v>177</v>
      </c>
      <c r="D98" t="s">
        <v>19</v>
      </c>
      <c r="E98">
        <v>60</v>
      </c>
      <c r="F98" t="str" cm="1">
        <f t="array" ref="F98">_xlfn.IFS(E98&lt;18, "0-17",
     E98&lt;25, "18-24",
     E98&lt;35, "25-34",
     E98&lt;45, "35-44",
     E98&lt;55, "45-54",
     E98&lt;65, "55-64",
     TRUE, "65+")</f>
        <v>55-64</v>
      </c>
      <c r="G98" t="s">
        <v>28</v>
      </c>
      <c r="H98" t="s">
        <v>35</v>
      </c>
      <c r="I98" s="2">
        <v>17.989999999999998</v>
      </c>
      <c r="J98">
        <v>2</v>
      </c>
      <c r="K98" s="2">
        <v>35.979999999999997</v>
      </c>
      <c r="L98" t="s">
        <v>22</v>
      </c>
      <c r="M98" t="s">
        <v>18</v>
      </c>
      <c r="N98">
        <v>5.5</v>
      </c>
    </row>
    <row r="99" spans="1:14">
      <c r="A99">
        <v>98</v>
      </c>
      <c r="B99" s="1">
        <v>45189</v>
      </c>
      <c r="C99">
        <v>162</v>
      </c>
      <c r="D99" t="s">
        <v>14</v>
      </c>
      <c r="E99">
        <v>41</v>
      </c>
      <c r="F99" t="str" cm="1">
        <f t="array" ref="F99">_xlfn.IFS(E99&lt;18, "0-17",
     E99&lt;25, "18-24",
     E99&lt;35, "25-34",
     E99&lt;45, "35-44",
     E99&lt;55, "45-54",
     E99&lt;65, "55-64",
     TRUE, "65+")</f>
        <v>35-44</v>
      </c>
      <c r="G99" t="s">
        <v>20</v>
      </c>
      <c r="H99" t="s">
        <v>47</v>
      </c>
      <c r="I99" s="2">
        <v>18.989999999999998</v>
      </c>
      <c r="J99">
        <v>1</v>
      </c>
      <c r="K99" s="2">
        <v>18.989999999999998</v>
      </c>
      <c r="L99" t="s">
        <v>17</v>
      </c>
      <c r="M99" t="s">
        <v>26</v>
      </c>
      <c r="N99">
        <v>4.9000000000000004</v>
      </c>
    </row>
    <row r="100" spans="1:14">
      <c r="A100">
        <v>99</v>
      </c>
      <c r="B100" s="1">
        <v>45191</v>
      </c>
      <c r="C100">
        <v>197</v>
      </c>
      <c r="D100" t="s">
        <v>19</v>
      </c>
      <c r="E100">
        <v>34</v>
      </c>
      <c r="F100" t="str" cm="1">
        <f t="array" ref="F100">_xlfn.IFS(E100&lt;18, "0-17",
     E100&lt;25, "18-24",
     E100&lt;35, "25-34",
     E100&lt;45, "35-44",
     E100&lt;55, "45-54",
     E100&lt;65, "55-64",
     TRUE, "65+")</f>
        <v>25-34</v>
      </c>
      <c r="G100" t="s">
        <v>15</v>
      </c>
      <c r="H100" t="s">
        <v>38</v>
      </c>
      <c r="I100" s="2">
        <v>99.99</v>
      </c>
      <c r="J100">
        <v>1</v>
      </c>
      <c r="K100" s="2">
        <v>99.99</v>
      </c>
      <c r="L100" t="s">
        <v>17</v>
      </c>
      <c r="M100" t="s">
        <v>18</v>
      </c>
      <c r="N100">
        <v>8.6</v>
      </c>
    </row>
    <row r="101" spans="1:14">
      <c r="A101">
        <v>100</v>
      </c>
      <c r="B101" s="1">
        <v>45194</v>
      </c>
      <c r="C101">
        <v>143</v>
      </c>
      <c r="D101" t="s">
        <v>14</v>
      </c>
      <c r="E101">
        <v>28</v>
      </c>
      <c r="F101" t="str" cm="1">
        <f t="array" ref="F101">_xlfn.IFS(E101&lt;18, "0-17",
     E101&lt;25, "18-24",
     E101&lt;35, "25-34",
     E101&lt;45, "35-44",
     E101&lt;55, "45-54",
     E101&lt;65, "55-64",
     TRUE, "65+")</f>
        <v>25-34</v>
      </c>
      <c r="G101" t="s">
        <v>23</v>
      </c>
      <c r="H101" t="s">
        <v>33</v>
      </c>
      <c r="I101" s="2">
        <v>44.99</v>
      </c>
      <c r="J101">
        <v>3</v>
      </c>
      <c r="K101" s="2">
        <v>134.97</v>
      </c>
      <c r="L101" t="s">
        <v>17</v>
      </c>
      <c r="M101" t="s">
        <v>18</v>
      </c>
      <c r="N101">
        <v>0.6</v>
      </c>
    </row>
    <row r="102" spans="1:14">
      <c r="A102">
        <v>101</v>
      </c>
      <c r="B102" s="1">
        <v>45197</v>
      </c>
      <c r="C102">
        <v>108</v>
      </c>
      <c r="D102" t="s">
        <v>19</v>
      </c>
      <c r="E102">
        <v>47</v>
      </c>
      <c r="F102" t="str" cm="1">
        <f t="array" ref="F102">_xlfn.IFS(E102&lt;18, "0-17",
     E102&lt;25, "18-24",
     E102&lt;35, "25-34",
     E102&lt;45, "35-44",
     E102&lt;55, "45-54",
     E102&lt;65, "55-64",
     TRUE, "65+")</f>
        <v>45-54</v>
      </c>
      <c r="G102" t="s">
        <v>28</v>
      </c>
      <c r="H102" t="s">
        <v>43</v>
      </c>
      <c r="I102" s="2">
        <v>13.99</v>
      </c>
      <c r="J102">
        <v>4</v>
      </c>
      <c r="K102" s="2">
        <v>55.96</v>
      </c>
      <c r="L102" t="s">
        <v>17</v>
      </c>
      <c r="M102" t="s">
        <v>18</v>
      </c>
      <c r="N102">
        <v>1.5</v>
      </c>
    </row>
    <row r="103" spans="1:14">
      <c r="A103">
        <v>102</v>
      </c>
      <c r="B103" s="1">
        <v>45199</v>
      </c>
      <c r="C103">
        <v>117</v>
      </c>
      <c r="D103" t="s">
        <v>14</v>
      </c>
      <c r="E103">
        <v>39</v>
      </c>
      <c r="F103" t="str" cm="1">
        <f t="array" ref="F103">_xlfn.IFS(E103&lt;18, "0-17",
     E103&lt;25, "18-24",
     E103&lt;35, "25-34",
     E103&lt;45, "35-44",
     E103&lt;55, "45-54",
     E103&lt;65, "55-64",
     TRUE, "65+")</f>
        <v>35-44</v>
      </c>
      <c r="G103" t="s">
        <v>20</v>
      </c>
      <c r="H103" t="s">
        <v>21</v>
      </c>
      <c r="I103" s="2">
        <v>49.99</v>
      </c>
      <c r="J103">
        <v>2</v>
      </c>
      <c r="K103" s="2">
        <v>99.98</v>
      </c>
      <c r="L103" t="s">
        <v>31</v>
      </c>
      <c r="M103" t="s">
        <v>18</v>
      </c>
      <c r="N103">
        <v>6.5</v>
      </c>
    </row>
    <row r="104" spans="1:14">
      <c r="A104">
        <v>103</v>
      </c>
      <c r="B104" s="1">
        <v>45202</v>
      </c>
      <c r="C104">
        <v>127</v>
      </c>
      <c r="D104" t="s">
        <v>19</v>
      </c>
      <c r="E104">
        <v>31</v>
      </c>
      <c r="F104" t="str" cm="1">
        <f t="array" ref="F104">_xlfn.IFS(E104&lt;18, "0-17",
     E104&lt;25, "18-24",
     E104&lt;35, "25-34",
     E104&lt;45, "35-44",
     E104&lt;55, "45-54",
     E104&lt;65, "55-64",
     TRUE, "65+")</f>
        <v>25-34</v>
      </c>
      <c r="G104" t="s">
        <v>15</v>
      </c>
      <c r="H104" t="s">
        <v>48</v>
      </c>
      <c r="I104" s="2">
        <v>27.99</v>
      </c>
      <c r="J104">
        <v>1</v>
      </c>
      <c r="K104" s="2">
        <v>27.99</v>
      </c>
      <c r="L104" t="s">
        <v>17</v>
      </c>
      <c r="M104" t="s">
        <v>18</v>
      </c>
      <c r="N104">
        <v>6.5</v>
      </c>
    </row>
    <row r="105" spans="1:14">
      <c r="A105">
        <v>104</v>
      </c>
      <c r="B105" s="1">
        <v>45204</v>
      </c>
      <c r="C105">
        <v>164</v>
      </c>
      <c r="D105" t="s">
        <v>14</v>
      </c>
      <c r="E105">
        <v>53</v>
      </c>
      <c r="F105" t="str" cm="1">
        <f t="array" ref="F105">_xlfn.IFS(E105&lt;18, "0-17",
     E105&lt;25, "18-24",
     E105&lt;35, "25-34",
     E105&lt;45, "35-44",
     E105&lt;55, "45-54",
     E105&lt;65, "55-64",
     TRUE, "65+")</f>
        <v>45-54</v>
      </c>
      <c r="G105" t="s">
        <v>23</v>
      </c>
      <c r="H105" t="s">
        <v>49</v>
      </c>
      <c r="I105" s="2">
        <v>29.99</v>
      </c>
      <c r="J105">
        <v>2</v>
      </c>
      <c r="K105" s="2">
        <v>59.98</v>
      </c>
      <c r="L105" t="s">
        <v>17</v>
      </c>
      <c r="M105" t="s">
        <v>26</v>
      </c>
      <c r="N105">
        <v>5.6</v>
      </c>
    </row>
    <row r="106" spans="1:14">
      <c r="A106">
        <v>105</v>
      </c>
      <c r="B106" s="1">
        <v>45207</v>
      </c>
      <c r="C106">
        <v>164</v>
      </c>
      <c r="D106" t="s">
        <v>19</v>
      </c>
      <c r="E106">
        <v>40</v>
      </c>
      <c r="F106" t="str" cm="1">
        <f t="array" ref="F106">_xlfn.IFS(E106&lt;18, "0-17",
     E106&lt;25, "18-24",
     E106&lt;35, "25-34",
     E106&lt;45, "35-44",
     E106&lt;55, "45-54",
     E106&lt;65, "55-64",
     TRUE, "65+")</f>
        <v>35-44</v>
      </c>
      <c r="G106" t="s">
        <v>28</v>
      </c>
      <c r="H106" t="s">
        <v>50</v>
      </c>
      <c r="I106" s="2">
        <v>52.99</v>
      </c>
      <c r="J106">
        <v>1</v>
      </c>
      <c r="K106" s="2">
        <v>52.99</v>
      </c>
      <c r="L106" t="s">
        <v>22</v>
      </c>
      <c r="M106" t="s">
        <v>18</v>
      </c>
      <c r="N106">
        <v>5.6</v>
      </c>
    </row>
    <row r="107" spans="1:14">
      <c r="A107">
        <v>106</v>
      </c>
      <c r="B107" s="1">
        <v>45209</v>
      </c>
      <c r="C107">
        <v>167</v>
      </c>
      <c r="D107" t="s">
        <v>14</v>
      </c>
      <c r="E107">
        <v>58</v>
      </c>
      <c r="F107" t="str" cm="1">
        <f t="array" ref="F107">_xlfn.IFS(E107&lt;18, "0-17",
     E107&lt;25, "18-24",
     E107&lt;35, "25-34",
     E107&lt;45, "35-44",
     E107&lt;55, "45-54",
     E107&lt;65, "55-64",
     TRUE, "65+")</f>
        <v>55-64</v>
      </c>
      <c r="G107" t="s">
        <v>20</v>
      </c>
      <c r="H107" t="s">
        <v>44</v>
      </c>
      <c r="I107" s="2">
        <v>10.99</v>
      </c>
      <c r="J107">
        <v>5</v>
      </c>
      <c r="K107" s="2">
        <v>54.95</v>
      </c>
      <c r="L107" t="s">
        <v>17</v>
      </c>
      <c r="M107" t="s">
        <v>18</v>
      </c>
      <c r="N107">
        <v>7.9</v>
      </c>
    </row>
    <row r="108" spans="1:14">
      <c r="A108">
        <v>107</v>
      </c>
      <c r="B108" s="1">
        <v>45211</v>
      </c>
      <c r="C108">
        <v>114</v>
      </c>
      <c r="D108" t="s">
        <v>19</v>
      </c>
      <c r="E108">
        <v>36</v>
      </c>
      <c r="F108" t="str" cm="1">
        <f t="array" ref="F108">_xlfn.IFS(E108&lt;18, "0-17",
     E108&lt;25, "18-24",
     E108&lt;35, "25-34",
     E108&lt;45, "35-44",
     E108&lt;55, "45-54",
     E108&lt;65, "55-64",
     TRUE, "65+")</f>
        <v>35-44</v>
      </c>
      <c r="G108" t="s">
        <v>15</v>
      </c>
      <c r="H108" t="s">
        <v>34</v>
      </c>
      <c r="I108" s="2">
        <v>16.989999999999998</v>
      </c>
      <c r="J108">
        <v>3</v>
      </c>
      <c r="K108" s="2">
        <v>50.97</v>
      </c>
      <c r="L108" t="s">
        <v>17</v>
      </c>
      <c r="M108" t="s">
        <v>18</v>
      </c>
      <c r="N108">
        <v>1.9</v>
      </c>
    </row>
    <row r="109" spans="1:14">
      <c r="A109">
        <v>108</v>
      </c>
      <c r="B109" s="1">
        <v>45214</v>
      </c>
      <c r="C109">
        <v>102</v>
      </c>
      <c r="D109" t="s">
        <v>14</v>
      </c>
      <c r="E109">
        <v>50</v>
      </c>
      <c r="F109" t="str" cm="1">
        <f t="array" ref="F109">_xlfn.IFS(E109&lt;18, "0-17",
     E109&lt;25, "18-24",
     E109&lt;35, "25-34",
     E109&lt;45, "35-44",
     E109&lt;55, "45-54",
     E109&lt;65, "55-64",
     TRUE, "65+")</f>
        <v>45-54</v>
      </c>
      <c r="G109" t="s">
        <v>23</v>
      </c>
      <c r="H109" t="s">
        <v>24</v>
      </c>
      <c r="I109" s="2">
        <v>34.99</v>
      </c>
      <c r="J109">
        <v>2</v>
      </c>
      <c r="K109" s="2">
        <v>69.98</v>
      </c>
      <c r="L109" t="s">
        <v>17</v>
      </c>
      <c r="M109" t="s">
        <v>18</v>
      </c>
      <c r="N109">
        <v>6.3</v>
      </c>
    </row>
    <row r="110" spans="1:14">
      <c r="A110">
        <v>109</v>
      </c>
      <c r="B110" s="1">
        <v>45217</v>
      </c>
      <c r="C110">
        <v>126</v>
      </c>
      <c r="D110" t="s">
        <v>19</v>
      </c>
      <c r="E110">
        <v>29</v>
      </c>
      <c r="F110" t="str" cm="1">
        <f t="array" ref="F110">_xlfn.IFS(E110&lt;18, "0-17",
     E110&lt;25, "18-24",
     E110&lt;35, "25-34",
     E110&lt;45, "35-44",
     E110&lt;55, "45-54",
     E110&lt;65, "55-64",
     TRUE, "65+")</f>
        <v>25-34</v>
      </c>
      <c r="G110" t="s">
        <v>28</v>
      </c>
      <c r="H110" t="s">
        <v>29</v>
      </c>
      <c r="I110" s="2">
        <v>42.99</v>
      </c>
      <c r="J110">
        <v>2</v>
      </c>
      <c r="K110" s="2">
        <v>85.98</v>
      </c>
      <c r="L110" t="s">
        <v>25</v>
      </c>
      <c r="M110" t="s">
        <v>26</v>
      </c>
      <c r="N110">
        <v>3.1</v>
      </c>
    </row>
    <row r="111" spans="1:14">
      <c r="A111">
        <v>110</v>
      </c>
      <c r="B111" s="1">
        <v>45219</v>
      </c>
      <c r="C111">
        <v>112</v>
      </c>
      <c r="D111" t="s">
        <v>14</v>
      </c>
      <c r="E111">
        <v>61</v>
      </c>
      <c r="F111" t="str" cm="1">
        <f t="array" ref="F111">_xlfn.IFS(E111&lt;18, "0-17",
     E111&lt;25, "18-24",
     E111&lt;35, "25-34",
     E111&lt;45, "35-44",
     E111&lt;55, "45-54",
     E111&lt;65, "55-64",
     TRUE, "65+")</f>
        <v>55-64</v>
      </c>
      <c r="G111" t="s">
        <v>20</v>
      </c>
      <c r="H111" t="s">
        <v>32</v>
      </c>
      <c r="I111" s="2">
        <v>69.989999999999995</v>
      </c>
      <c r="J111">
        <v>1</v>
      </c>
      <c r="K111" s="2">
        <v>69.989999999999995</v>
      </c>
      <c r="L111" t="s">
        <v>17</v>
      </c>
      <c r="M111" t="s">
        <v>18</v>
      </c>
      <c r="N111">
        <v>8.6999999999999993</v>
      </c>
    </row>
    <row r="112" spans="1:14">
      <c r="A112">
        <v>111</v>
      </c>
      <c r="B112" s="1">
        <v>45221</v>
      </c>
      <c r="C112">
        <v>119</v>
      </c>
      <c r="D112" t="s">
        <v>19</v>
      </c>
      <c r="E112">
        <v>25</v>
      </c>
      <c r="F112" t="str" cm="1">
        <f t="array" ref="F112">_xlfn.IFS(E112&lt;18, "0-17",
     E112&lt;25, "18-24",
     E112&lt;35, "25-34",
     E112&lt;45, "35-44",
     E112&lt;55, "45-54",
     E112&lt;65, "55-64",
     TRUE, "65+")</f>
        <v>25-34</v>
      </c>
      <c r="G112" t="s">
        <v>15</v>
      </c>
      <c r="H112" t="s">
        <v>16</v>
      </c>
      <c r="I112" s="2">
        <v>59.99</v>
      </c>
      <c r="J112">
        <v>2</v>
      </c>
      <c r="K112" s="2">
        <v>119.98</v>
      </c>
      <c r="L112" t="s">
        <v>17</v>
      </c>
      <c r="M112" t="s">
        <v>18</v>
      </c>
      <c r="N112">
        <v>3.6</v>
      </c>
    </row>
    <row r="113" spans="1:14">
      <c r="A113">
        <v>112</v>
      </c>
      <c r="B113" s="1">
        <v>45224</v>
      </c>
      <c r="C113">
        <v>119</v>
      </c>
      <c r="D113" t="s">
        <v>14</v>
      </c>
      <c r="E113">
        <v>44</v>
      </c>
      <c r="F113" t="str" cm="1">
        <f t="array" ref="F113">_xlfn.IFS(E113&lt;18, "0-17",
     E113&lt;25, "18-24",
     E113&lt;35, "25-34",
     E113&lt;45, "35-44",
     E113&lt;55, "45-54",
     E113&lt;65, "55-64",
     TRUE, "65+")</f>
        <v>35-44</v>
      </c>
      <c r="G113" t="s">
        <v>23</v>
      </c>
      <c r="H113" t="s">
        <v>41</v>
      </c>
      <c r="I113" s="2">
        <v>149.99</v>
      </c>
      <c r="J113">
        <v>1</v>
      </c>
      <c r="K113" s="2">
        <v>149.99</v>
      </c>
      <c r="L113" t="s">
        <v>22</v>
      </c>
      <c r="M113" t="s">
        <v>18</v>
      </c>
      <c r="N113">
        <v>3.6</v>
      </c>
    </row>
    <row r="114" spans="1:14">
      <c r="A114">
        <v>113</v>
      </c>
      <c r="B114" s="1">
        <v>45227</v>
      </c>
      <c r="C114">
        <v>138</v>
      </c>
      <c r="D114" t="s">
        <v>19</v>
      </c>
      <c r="E114">
        <v>63</v>
      </c>
      <c r="F114" t="str" cm="1">
        <f t="array" ref="F114">_xlfn.IFS(E114&lt;18, "0-17",
     E114&lt;25, "18-24",
     E114&lt;35, "25-34",
     E114&lt;45, "35-44",
     E114&lt;55, "45-54",
     E114&lt;65, "55-64",
     TRUE, "65+")</f>
        <v>55-64</v>
      </c>
      <c r="G114" t="s">
        <v>28</v>
      </c>
      <c r="H114" t="s">
        <v>39</v>
      </c>
      <c r="I114" s="2">
        <v>7.99</v>
      </c>
      <c r="J114">
        <v>4</v>
      </c>
      <c r="K114" s="2">
        <v>31.96</v>
      </c>
      <c r="L114" t="s">
        <v>17</v>
      </c>
      <c r="M114" t="s">
        <v>18</v>
      </c>
      <c r="N114">
        <v>2.8</v>
      </c>
    </row>
    <row r="115" spans="1:14">
      <c r="A115">
        <v>114</v>
      </c>
      <c r="B115" s="1">
        <v>45229</v>
      </c>
      <c r="C115">
        <v>105</v>
      </c>
      <c r="D115" t="s">
        <v>14</v>
      </c>
      <c r="E115">
        <v>38</v>
      </c>
      <c r="F115" t="str" cm="1">
        <f t="array" ref="F115">_xlfn.IFS(E115&lt;18, "0-17",
     E115&lt;25, "18-24",
     E115&lt;35, "25-34",
     E115&lt;45, "35-44",
     E115&lt;55, "45-54",
     E115&lt;65, "55-64",
     TRUE, "65+")</f>
        <v>35-44</v>
      </c>
      <c r="G115" t="s">
        <v>20</v>
      </c>
      <c r="H115" t="s">
        <v>40</v>
      </c>
      <c r="I115" s="2">
        <v>89.99</v>
      </c>
      <c r="J115">
        <v>2</v>
      </c>
      <c r="K115" s="2">
        <v>179.98</v>
      </c>
      <c r="L115" t="s">
        <v>17</v>
      </c>
      <c r="M115" t="s">
        <v>26</v>
      </c>
      <c r="N115">
        <v>3.7</v>
      </c>
    </row>
    <row r="116" spans="1:14">
      <c r="A116">
        <v>115</v>
      </c>
      <c r="B116" s="1">
        <v>45232</v>
      </c>
      <c r="C116">
        <v>109</v>
      </c>
      <c r="D116" t="s">
        <v>19</v>
      </c>
      <c r="E116">
        <v>27</v>
      </c>
      <c r="F116" t="str" cm="1">
        <f t="array" ref="F116">_xlfn.IFS(E116&lt;18, "0-17",
     E116&lt;25, "18-24",
     E116&lt;35, "25-34",
     E116&lt;45, "35-44",
     E116&lt;55, "45-54",
     E116&lt;65, "55-64",
     TRUE, "65+")</f>
        <v>25-34</v>
      </c>
      <c r="G116" t="s">
        <v>15</v>
      </c>
      <c r="H116" t="s">
        <v>46</v>
      </c>
      <c r="I116" s="2">
        <v>79.989999999999995</v>
      </c>
      <c r="J116">
        <v>1</v>
      </c>
      <c r="K116" s="2">
        <v>79.989999999999995</v>
      </c>
      <c r="L116" t="s">
        <v>31</v>
      </c>
      <c r="M116" t="s">
        <v>18</v>
      </c>
      <c r="N116">
        <v>0.3</v>
      </c>
    </row>
    <row r="117" spans="1:14">
      <c r="A117">
        <v>116</v>
      </c>
      <c r="B117" s="1">
        <v>45235</v>
      </c>
      <c r="C117">
        <v>110</v>
      </c>
      <c r="D117" t="s">
        <v>14</v>
      </c>
      <c r="E117">
        <v>48</v>
      </c>
      <c r="F117" t="str" cm="1">
        <f t="array" ref="F117">_xlfn.IFS(E117&lt;18, "0-17",
     E117&lt;25, "18-24",
     E117&lt;35, "25-34",
     E117&lt;45, "35-44",
     E117&lt;55, "45-54",
     E117&lt;65, "55-64",
     TRUE, "65+")</f>
        <v>45-54</v>
      </c>
      <c r="G117" t="s">
        <v>23</v>
      </c>
      <c r="H117" t="s">
        <v>45</v>
      </c>
      <c r="I117" s="2">
        <v>69.989999999999995</v>
      </c>
      <c r="J117">
        <v>2</v>
      </c>
      <c r="K117" s="2">
        <v>139.97999999999999</v>
      </c>
      <c r="L117" t="s">
        <v>17</v>
      </c>
      <c r="M117" t="s">
        <v>18</v>
      </c>
      <c r="N117">
        <v>0.8</v>
      </c>
    </row>
    <row r="118" spans="1:14">
      <c r="A118">
        <v>117</v>
      </c>
      <c r="B118" s="1">
        <v>45238</v>
      </c>
      <c r="C118">
        <v>172</v>
      </c>
      <c r="D118" t="s">
        <v>19</v>
      </c>
      <c r="E118">
        <v>33</v>
      </c>
      <c r="F118" t="str" cm="1">
        <f t="array" ref="F118">_xlfn.IFS(E118&lt;18, "0-17",
     E118&lt;25, "18-24",
     E118&lt;35, "25-34",
     E118&lt;45, "35-44",
     E118&lt;55, "45-54",
     E118&lt;65, "55-64",
     TRUE, "65+")</f>
        <v>25-34</v>
      </c>
      <c r="G118" t="s">
        <v>28</v>
      </c>
      <c r="H118" t="s">
        <v>35</v>
      </c>
      <c r="I118" s="2">
        <v>18.989999999999998</v>
      </c>
      <c r="J118">
        <v>3</v>
      </c>
      <c r="K118" s="2">
        <v>56.97</v>
      </c>
      <c r="L118" t="s">
        <v>17</v>
      </c>
      <c r="M118" t="s">
        <v>18</v>
      </c>
      <c r="N118">
        <v>6.2</v>
      </c>
    </row>
    <row r="119" spans="1:14">
      <c r="A119">
        <v>118</v>
      </c>
      <c r="B119" s="1">
        <v>45240</v>
      </c>
      <c r="C119">
        <v>103</v>
      </c>
      <c r="D119" t="s">
        <v>14</v>
      </c>
      <c r="E119">
        <v>30</v>
      </c>
      <c r="F119" t="str" cm="1">
        <f t="array" ref="F119">_xlfn.IFS(E119&lt;18, "0-17",
     E119&lt;25, "18-24",
     E119&lt;35, "25-34",
     E119&lt;45, "35-44",
     E119&lt;55, "45-54",
     E119&lt;65, "55-64",
     TRUE, "65+")</f>
        <v>25-34</v>
      </c>
      <c r="G119" t="s">
        <v>20</v>
      </c>
      <c r="H119" t="s">
        <v>36</v>
      </c>
      <c r="I119" s="2">
        <v>89.99</v>
      </c>
      <c r="J119">
        <v>1</v>
      </c>
      <c r="K119" s="2">
        <v>89.99</v>
      </c>
      <c r="L119" t="s">
        <v>17</v>
      </c>
      <c r="M119" t="s">
        <v>26</v>
      </c>
      <c r="N119">
        <v>4.5999999999999996</v>
      </c>
    </row>
    <row r="120" spans="1:14">
      <c r="A120">
        <v>119</v>
      </c>
      <c r="B120" s="1">
        <v>45242</v>
      </c>
      <c r="C120">
        <v>132</v>
      </c>
      <c r="D120" t="s">
        <v>19</v>
      </c>
      <c r="E120">
        <v>55</v>
      </c>
      <c r="F120" t="str" cm="1">
        <f t="array" ref="F120">_xlfn.IFS(E120&lt;18, "0-17",
     E120&lt;25, "18-24",
     E120&lt;35, "25-34",
     E120&lt;45, "35-44",
     E120&lt;55, "45-54",
     E120&lt;65, "55-64",
     TRUE, "65+")</f>
        <v>55-64</v>
      </c>
      <c r="G120" t="s">
        <v>15</v>
      </c>
      <c r="H120" t="s">
        <v>42</v>
      </c>
      <c r="I120" s="2">
        <v>239.99</v>
      </c>
      <c r="J120">
        <v>1</v>
      </c>
      <c r="K120" s="2">
        <v>239.99</v>
      </c>
      <c r="L120" t="s">
        <v>22</v>
      </c>
      <c r="M120" t="s">
        <v>18</v>
      </c>
      <c r="N120">
        <v>9.4</v>
      </c>
    </row>
    <row r="121" spans="1:14">
      <c r="A121">
        <v>120</v>
      </c>
      <c r="B121" s="1">
        <v>45245</v>
      </c>
      <c r="C121">
        <v>146</v>
      </c>
      <c r="D121" t="s">
        <v>14</v>
      </c>
      <c r="E121">
        <v>42</v>
      </c>
      <c r="F121" t="str" cm="1">
        <f t="array" ref="F121">_xlfn.IFS(E121&lt;18, "0-17",
     E121&lt;25, "18-24",
     E121&lt;35, "25-34",
     E121&lt;45, "35-44",
     E121&lt;55, "45-54",
     E121&lt;65, "55-64",
     TRUE, "65+")</f>
        <v>35-44</v>
      </c>
      <c r="G121" t="s">
        <v>23</v>
      </c>
      <c r="H121" t="s">
        <v>37</v>
      </c>
      <c r="I121" s="2">
        <v>22.99</v>
      </c>
      <c r="J121">
        <v>4</v>
      </c>
      <c r="K121" s="2">
        <v>91.96</v>
      </c>
      <c r="L121" t="s">
        <v>17</v>
      </c>
      <c r="M121" t="s">
        <v>18</v>
      </c>
      <c r="N121">
        <v>5.5</v>
      </c>
    </row>
    <row r="122" spans="1:14">
      <c r="A122">
        <v>121</v>
      </c>
      <c r="B122" s="1">
        <v>45248</v>
      </c>
      <c r="C122">
        <v>132</v>
      </c>
      <c r="D122" t="s">
        <v>19</v>
      </c>
      <c r="E122">
        <v>36</v>
      </c>
      <c r="F122" t="str" cm="1">
        <f t="array" ref="F122">_xlfn.IFS(E122&lt;18, "0-17",
     E122&lt;25, "18-24",
     E122&lt;35, "25-34",
     E122&lt;45, "35-44",
     E122&lt;55, "45-54",
     E122&lt;65, "55-64",
     TRUE, "65+")</f>
        <v>35-44</v>
      </c>
      <c r="G122" t="s">
        <v>28</v>
      </c>
      <c r="H122" t="s">
        <v>43</v>
      </c>
      <c r="I122" s="2">
        <v>14.99</v>
      </c>
      <c r="J122">
        <v>2</v>
      </c>
      <c r="K122" s="2">
        <v>29.98</v>
      </c>
      <c r="L122" t="s">
        <v>17</v>
      </c>
      <c r="M122" t="s">
        <v>18</v>
      </c>
      <c r="N122">
        <v>9.4</v>
      </c>
    </row>
    <row r="123" spans="1:14">
      <c r="A123">
        <v>122</v>
      </c>
      <c r="B123" s="1">
        <v>45250</v>
      </c>
      <c r="C123">
        <v>122</v>
      </c>
      <c r="D123" t="s">
        <v>14</v>
      </c>
      <c r="E123">
        <v>47</v>
      </c>
      <c r="F123" t="str" cm="1">
        <f t="array" ref="F123">_xlfn.IFS(E123&lt;18, "0-17",
     E123&lt;25, "18-24",
     E123&lt;35, "25-34",
     E123&lt;45, "35-44",
     E123&lt;55, "45-54",
     E123&lt;65, "55-64",
     TRUE, "65+")</f>
        <v>45-54</v>
      </c>
      <c r="G123" t="s">
        <v>20</v>
      </c>
      <c r="H123" t="s">
        <v>21</v>
      </c>
      <c r="I123" s="2">
        <v>39.99</v>
      </c>
      <c r="J123">
        <v>3</v>
      </c>
      <c r="K123" s="2">
        <v>119.97</v>
      </c>
      <c r="L123" t="s">
        <v>17</v>
      </c>
      <c r="M123" t="s">
        <v>18</v>
      </c>
      <c r="N123">
        <v>5.6</v>
      </c>
    </row>
    <row r="124" spans="1:14">
      <c r="A124">
        <v>123</v>
      </c>
      <c r="B124" s="1">
        <v>45252</v>
      </c>
      <c r="C124">
        <v>190</v>
      </c>
      <c r="D124" t="s">
        <v>19</v>
      </c>
      <c r="E124">
        <v>65</v>
      </c>
      <c r="F124" t="str" cm="1">
        <f t="array" ref="F124">_xlfn.IFS(E124&lt;18, "0-17",
     E124&lt;25, "18-24",
     E124&lt;35, "25-34",
     E124&lt;45, "35-44",
     E124&lt;55, "45-54",
     E124&lt;65, "55-64",
     TRUE, "65+")</f>
        <v>65+</v>
      </c>
      <c r="G124" t="s">
        <v>15</v>
      </c>
      <c r="H124" t="s">
        <v>30</v>
      </c>
      <c r="I124" s="2">
        <v>12.99</v>
      </c>
      <c r="J124">
        <v>2</v>
      </c>
      <c r="K124" s="2">
        <v>25.98</v>
      </c>
      <c r="L124" t="s">
        <v>25</v>
      </c>
      <c r="M124" t="s">
        <v>26</v>
      </c>
      <c r="N124">
        <v>8.4</v>
      </c>
    </row>
    <row r="125" spans="1:14">
      <c r="A125">
        <v>124</v>
      </c>
      <c r="B125" s="1">
        <v>45255</v>
      </c>
      <c r="C125">
        <v>135</v>
      </c>
      <c r="D125" t="s">
        <v>14</v>
      </c>
      <c r="E125">
        <v>28</v>
      </c>
      <c r="F125" t="str" cm="1">
        <f t="array" ref="F125">_xlfn.IFS(E125&lt;18, "0-17",
     E125&lt;25, "18-24",
     E125&lt;35, "25-34",
     E125&lt;45, "35-44",
     E125&lt;55, "45-54",
     E125&lt;65, "55-64",
     TRUE, "65+")</f>
        <v>25-34</v>
      </c>
      <c r="G125" t="s">
        <v>23</v>
      </c>
      <c r="H125" t="s">
        <v>33</v>
      </c>
      <c r="I125" s="2">
        <v>49.99</v>
      </c>
      <c r="J125">
        <v>2</v>
      </c>
      <c r="K125" s="2">
        <v>99.98</v>
      </c>
      <c r="L125" t="s">
        <v>17</v>
      </c>
      <c r="M125" t="s">
        <v>18</v>
      </c>
      <c r="N125">
        <v>8</v>
      </c>
    </row>
    <row r="126" spans="1:14">
      <c r="A126">
        <v>125</v>
      </c>
      <c r="B126" s="1">
        <v>45258</v>
      </c>
      <c r="C126">
        <v>157</v>
      </c>
      <c r="D126" t="s">
        <v>19</v>
      </c>
      <c r="E126">
        <v>53</v>
      </c>
      <c r="F126" t="str" cm="1">
        <f t="array" ref="F126">_xlfn.IFS(E126&lt;18, "0-17",
     E126&lt;25, "18-24",
     E126&lt;35, "25-34",
     E126&lt;45, "35-44",
     E126&lt;55, "45-54",
     E126&lt;65, "55-64",
     TRUE, "65+")</f>
        <v>45-54</v>
      </c>
      <c r="G126" t="s">
        <v>28</v>
      </c>
      <c r="H126" t="s">
        <v>50</v>
      </c>
      <c r="I126" s="2">
        <v>47.99</v>
      </c>
      <c r="J126">
        <v>1</v>
      </c>
      <c r="K126" s="2">
        <v>47.99</v>
      </c>
      <c r="L126" t="s">
        <v>17</v>
      </c>
      <c r="M126" t="s">
        <v>18</v>
      </c>
      <c r="N126">
        <v>3.3</v>
      </c>
    </row>
    <row r="127" spans="1:14">
      <c r="A127">
        <v>126</v>
      </c>
      <c r="B127" s="1">
        <v>45260</v>
      </c>
      <c r="C127">
        <v>147</v>
      </c>
      <c r="D127" t="s">
        <v>14</v>
      </c>
      <c r="E127">
        <v>39</v>
      </c>
      <c r="F127" t="str" cm="1">
        <f t="array" ref="F127">_xlfn.IFS(E127&lt;18, "0-17",
     E127&lt;25, "18-24",
     E127&lt;35, "25-34",
     E127&lt;45, "35-44",
     E127&lt;55, "45-54",
     E127&lt;65, "55-64",
     TRUE, "65+")</f>
        <v>35-44</v>
      </c>
      <c r="G127" t="s">
        <v>20</v>
      </c>
      <c r="H127" t="s">
        <v>32</v>
      </c>
      <c r="I127" s="2">
        <v>59.99</v>
      </c>
      <c r="J127">
        <v>2</v>
      </c>
      <c r="K127" s="2">
        <v>119.98</v>
      </c>
      <c r="L127" t="s">
        <v>22</v>
      </c>
      <c r="M127" t="s">
        <v>18</v>
      </c>
      <c r="N127">
        <v>3.6</v>
      </c>
    </row>
    <row r="128" spans="1:14">
      <c r="A128">
        <v>127</v>
      </c>
      <c r="B128" s="1">
        <v>45263</v>
      </c>
      <c r="C128">
        <v>186</v>
      </c>
      <c r="D128" t="s">
        <v>19</v>
      </c>
      <c r="E128">
        <v>61</v>
      </c>
      <c r="F128" t="str" cm="1">
        <f t="array" ref="F128">_xlfn.IFS(E128&lt;18, "0-17",
     E128&lt;25, "18-24",
     E128&lt;35, "25-34",
     E128&lt;45, "35-44",
     E128&lt;55, "45-54",
     E128&lt;65, "55-64",
     TRUE, "65+")</f>
        <v>55-64</v>
      </c>
      <c r="G128" t="s">
        <v>15</v>
      </c>
      <c r="H128" t="s">
        <v>38</v>
      </c>
      <c r="I128" s="2">
        <v>89.99</v>
      </c>
      <c r="J128">
        <v>1</v>
      </c>
      <c r="K128" s="2">
        <v>89.99</v>
      </c>
      <c r="L128" t="s">
        <v>17</v>
      </c>
      <c r="M128" t="s">
        <v>26</v>
      </c>
      <c r="N128">
        <v>6.6</v>
      </c>
    </row>
    <row r="129" spans="1:14">
      <c r="A129">
        <v>128</v>
      </c>
      <c r="B129" s="1">
        <v>45265</v>
      </c>
      <c r="C129">
        <v>156</v>
      </c>
      <c r="D129" t="s">
        <v>14</v>
      </c>
      <c r="E129">
        <v>44</v>
      </c>
      <c r="F129" t="str" cm="1">
        <f t="array" ref="F129">_xlfn.IFS(E129&lt;18, "0-17",
     E129&lt;25, "18-24",
     E129&lt;35, "25-34",
     E129&lt;45, "35-44",
     E129&lt;55, "45-54",
     E129&lt;65, "55-64",
     TRUE, "65+")</f>
        <v>35-44</v>
      </c>
      <c r="G129" t="s">
        <v>23</v>
      </c>
      <c r="H129" t="s">
        <v>24</v>
      </c>
      <c r="I129" s="2">
        <v>31.99</v>
      </c>
      <c r="J129">
        <v>3</v>
      </c>
      <c r="K129" s="2">
        <v>95.97</v>
      </c>
      <c r="L129" t="s">
        <v>17</v>
      </c>
      <c r="M129" t="s">
        <v>18</v>
      </c>
      <c r="N129">
        <v>1.4</v>
      </c>
    </row>
    <row r="130" spans="1:14">
      <c r="A130">
        <v>129</v>
      </c>
      <c r="B130" s="1">
        <v>45268</v>
      </c>
      <c r="C130">
        <v>140</v>
      </c>
      <c r="D130" t="s">
        <v>19</v>
      </c>
      <c r="E130">
        <v>27</v>
      </c>
      <c r="F130" t="str" cm="1">
        <f t="array" ref="F130">_xlfn.IFS(E130&lt;18, "0-17",
     E130&lt;25, "18-24",
     E130&lt;35, "25-34",
     E130&lt;45, "35-44",
     E130&lt;55, "45-54",
     E130&lt;65, "55-64",
     TRUE, "65+")</f>
        <v>25-34</v>
      </c>
      <c r="G130" t="s">
        <v>28</v>
      </c>
      <c r="H130" t="s">
        <v>29</v>
      </c>
      <c r="I130" s="2">
        <v>39.99</v>
      </c>
      <c r="J130">
        <v>2</v>
      </c>
      <c r="K130" s="2">
        <v>79.98</v>
      </c>
      <c r="L130" t="s">
        <v>17</v>
      </c>
      <c r="M130" t="s">
        <v>18</v>
      </c>
      <c r="N130">
        <v>4.5</v>
      </c>
    </row>
    <row r="131" spans="1:14">
      <c r="A131">
        <v>130</v>
      </c>
      <c r="B131" s="1">
        <v>45270</v>
      </c>
      <c r="C131">
        <v>104</v>
      </c>
      <c r="D131" t="s">
        <v>14</v>
      </c>
      <c r="E131">
        <v>52</v>
      </c>
      <c r="F131" t="str" cm="1">
        <f t="array" ref="F131">_xlfn.IFS(E131&lt;18, "0-17",
     E131&lt;25, "18-24",
     E131&lt;35, "25-34",
     E131&lt;45, "35-44",
     E131&lt;55, "45-54",
     E131&lt;65, "55-64",
     TRUE, "65+")</f>
        <v>45-54</v>
      </c>
      <c r="G131" t="s">
        <v>20</v>
      </c>
      <c r="H131" t="s">
        <v>44</v>
      </c>
      <c r="I131" s="2">
        <v>9.99</v>
      </c>
      <c r="J131">
        <v>4</v>
      </c>
      <c r="K131" s="2">
        <v>39.96</v>
      </c>
      <c r="L131" t="s">
        <v>31</v>
      </c>
      <c r="M131" t="s">
        <v>18</v>
      </c>
      <c r="N131">
        <v>1.4</v>
      </c>
    </row>
    <row r="132" spans="1:14">
      <c r="A132">
        <v>131</v>
      </c>
      <c r="B132" s="1">
        <v>45272</v>
      </c>
      <c r="C132">
        <v>192</v>
      </c>
      <c r="D132" t="s">
        <v>19</v>
      </c>
      <c r="E132">
        <v>35</v>
      </c>
      <c r="F132" t="str" cm="1">
        <f t="array" ref="F132">_xlfn.IFS(E132&lt;18, "0-17",
     E132&lt;25, "18-24",
     E132&lt;35, "25-34",
     E132&lt;45, "35-44",
     E132&lt;55, "45-54",
     E132&lt;65, "55-64",
     TRUE, "65+")</f>
        <v>35-44</v>
      </c>
      <c r="G132" t="s">
        <v>15</v>
      </c>
      <c r="H132" t="s">
        <v>34</v>
      </c>
      <c r="I132" s="2">
        <v>17.989999999999998</v>
      </c>
      <c r="J132">
        <v>3</v>
      </c>
      <c r="K132" s="2">
        <v>53.97</v>
      </c>
      <c r="L132" t="s">
        <v>17</v>
      </c>
      <c r="M132" t="s">
        <v>18</v>
      </c>
      <c r="N132">
        <v>0</v>
      </c>
    </row>
    <row r="133" spans="1:14">
      <c r="A133">
        <v>132</v>
      </c>
      <c r="B133" s="1">
        <v>45275</v>
      </c>
      <c r="C133">
        <v>105</v>
      </c>
      <c r="D133" t="s">
        <v>14</v>
      </c>
      <c r="E133">
        <v>42</v>
      </c>
      <c r="F133" t="str" cm="1">
        <f t="array" ref="F133">_xlfn.IFS(E133&lt;18, "0-17",
     E133&lt;25, "18-24",
     E133&lt;35, "25-34",
     E133&lt;45, "35-44",
     E133&lt;55, "45-54",
     E133&lt;65, "55-64",
     TRUE, "65+")</f>
        <v>35-44</v>
      </c>
      <c r="G133" t="s">
        <v>23</v>
      </c>
      <c r="H133" t="s">
        <v>41</v>
      </c>
      <c r="I133" s="2">
        <v>129.99</v>
      </c>
      <c r="J133">
        <v>2</v>
      </c>
      <c r="K133" s="2">
        <v>259.98</v>
      </c>
      <c r="L133" t="s">
        <v>17</v>
      </c>
      <c r="M133" t="s">
        <v>26</v>
      </c>
      <c r="N133">
        <v>3.7</v>
      </c>
    </row>
    <row r="134" spans="1:14">
      <c r="A134">
        <v>133</v>
      </c>
      <c r="B134" s="1">
        <v>45278</v>
      </c>
      <c r="C134">
        <v>179</v>
      </c>
      <c r="D134" t="s">
        <v>19</v>
      </c>
      <c r="E134">
        <v>58</v>
      </c>
      <c r="F134" t="str" cm="1">
        <f t="array" ref="F134">_xlfn.IFS(E134&lt;18, "0-17",
     E134&lt;25, "18-24",
     E134&lt;35, "25-34",
     E134&lt;45, "35-44",
     E134&lt;55, "45-54",
     E134&lt;65, "55-64",
     TRUE, "65+")</f>
        <v>55-64</v>
      </c>
      <c r="G134" t="s">
        <v>28</v>
      </c>
      <c r="H134" t="s">
        <v>39</v>
      </c>
      <c r="I134" s="2">
        <v>8.99</v>
      </c>
      <c r="J134">
        <v>3</v>
      </c>
      <c r="K134" s="2">
        <v>26.97</v>
      </c>
      <c r="L134" t="s">
        <v>17</v>
      </c>
      <c r="M134" t="s">
        <v>18</v>
      </c>
      <c r="N134">
        <v>9.8000000000000007</v>
      </c>
    </row>
    <row r="135" spans="1:14">
      <c r="A135">
        <v>134</v>
      </c>
      <c r="B135" s="1">
        <v>45280</v>
      </c>
      <c r="C135">
        <v>155</v>
      </c>
      <c r="D135" t="s">
        <v>14</v>
      </c>
      <c r="E135">
        <v>47</v>
      </c>
      <c r="F135" t="str" cm="1">
        <f t="array" ref="F135">_xlfn.IFS(E135&lt;18, "0-17",
     E135&lt;25, "18-24",
     E135&lt;35, "25-34",
     E135&lt;45, "35-44",
     E135&lt;55, "45-54",
     E135&lt;65, "55-64",
     TRUE, "65+")</f>
        <v>45-54</v>
      </c>
      <c r="G135" t="s">
        <v>20</v>
      </c>
      <c r="H135" t="s">
        <v>47</v>
      </c>
      <c r="I135" s="2">
        <v>19.989999999999998</v>
      </c>
      <c r="J135">
        <v>1</v>
      </c>
      <c r="K135" s="2">
        <v>19.989999999999998</v>
      </c>
      <c r="L135" t="s">
        <v>22</v>
      </c>
      <c r="M135" t="s">
        <v>18</v>
      </c>
      <c r="N135">
        <v>6.2</v>
      </c>
    </row>
    <row r="136" spans="1:14">
      <c r="A136">
        <v>135</v>
      </c>
      <c r="B136" s="1">
        <v>45282</v>
      </c>
      <c r="C136">
        <v>110</v>
      </c>
      <c r="D136" t="s">
        <v>19</v>
      </c>
      <c r="E136">
        <v>31</v>
      </c>
      <c r="F136" t="str" cm="1">
        <f t="array" ref="F136">_xlfn.IFS(E136&lt;18, "0-17",
     E136&lt;25, "18-24",
     E136&lt;35, "25-34",
     E136&lt;45, "35-44",
     E136&lt;55, "45-54",
     E136&lt;65, "55-64",
     TRUE, "65+")</f>
        <v>25-34</v>
      </c>
      <c r="G136" t="s">
        <v>15</v>
      </c>
      <c r="H136" t="s">
        <v>42</v>
      </c>
      <c r="I136" s="2">
        <v>219.99</v>
      </c>
      <c r="J136">
        <v>1</v>
      </c>
      <c r="K136" s="2">
        <v>219.99</v>
      </c>
      <c r="L136" t="s">
        <v>17</v>
      </c>
      <c r="M136" t="s">
        <v>18</v>
      </c>
      <c r="N136">
        <v>0.8</v>
      </c>
    </row>
    <row r="137" spans="1:14">
      <c r="A137">
        <v>136</v>
      </c>
      <c r="B137" s="1">
        <v>45285</v>
      </c>
      <c r="C137">
        <v>139</v>
      </c>
      <c r="D137" t="s">
        <v>14</v>
      </c>
      <c r="E137">
        <v>62</v>
      </c>
      <c r="F137" t="str" cm="1">
        <f t="array" ref="F137">_xlfn.IFS(E137&lt;18, "0-17",
     E137&lt;25, "18-24",
     E137&lt;35, "25-34",
     E137&lt;45, "35-44",
     E137&lt;55, "45-54",
     E137&lt;65, "55-64",
     TRUE, "65+")</f>
        <v>55-64</v>
      </c>
      <c r="G137" t="s">
        <v>23</v>
      </c>
      <c r="H137" t="s">
        <v>45</v>
      </c>
      <c r="I137" s="2">
        <v>55.99</v>
      </c>
      <c r="J137">
        <v>2</v>
      </c>
      <c r="K137" s="2">
        <v>111.98</v>
      </c>
      <c r="L137" t="s">
        <v>17</v>
      </c>
      <c r="M137" t="s">
        <v>26</v>
      </c>
      <c r="N137">
        <v>2.1</v>
      </c>
    </row>
    <row r="138" spans="1:14">
      <c r="A138">
        <v>137</v>
      </c>
      <c r="B138" s="1">
        <v>45287</v>
      </c>
      <c r="C138">
        <v>158</v>
      </c>
      <c r="D138" t="s">
        <v>19</v>
      </c>
      <c r="E138">
        <v>40</v>
      </c>
      <c r="F138" t="str" cm="1">
        <f t="array" ref="F138">_xlfn.IFS(E138&lt;18, "0-17",
     E138&lt;25, "18-24",
     E138&lt;35, "25-34",
     E138&lt;45, "35-44",
     E138&lt;55, "45-54",
     E138&lt;65, "55-64",
     TRUE, "65+")</f>
        <v>35-44</v>
      </c>
      <c r="G138" t="s">
        <v>28</v>
      </c>
      <c r="H138" t="s">
        <v>35</v>
      </c>
      <c r="I138" s="2">
        <v>15.99</v>
      </c>
      <c r="J138">
        <v>4</v>
      </c>
      <c r="K138" s="2">
        <v>63.96</v>
      </c>
      <c r="L138" t="s">
        <v>17</v>
      </c>
      <c r="M138" t="s">
        <v>18</v>
      </c>
      <c r="N138">
        <v>2.2000000000000002</v>
      </c>
    </row>
    <row r="139" spans="1:14">
      <c r="A139">
        <v>138</v>
      </c>
      <c r="B139" s="1">
        <v>45289</v>
      </c>
      <c r="C139">
        <v>144</v>
      </c>
      <c r="D139" t="s">
        <v>14</v>
      </c>
      <c r="E139">
        <v>26</v>
      </c>
      <c r="F139" t="str" cm="1">
        <f t="array" ref="F139">_xlfn.IFS(E139&lt;18, "0-17",
     E139&lt;25, "18-24",
     E139&lt;35, "25-34",
     E139&lt;45, "35-44",
     E139&lt;55, "45-54",
     E139&lt;65, "55-64",
     TRUE, "65+")</f>
        <v>25-34</v>
      </c>
      <c r="G139" t="s">
        <v>20</v>
      </c>
      <c r="H139" t="s">
        <v>21</v>
      </c>
      <c r="I139" s="2">
        <v>44.99</v>
      </c>
      <c r="J139">
        <v>1</v>
      </c>
      <c r="K139" s="2">
        <v>44.99</v>
      </c>
      <c r="L139" t="s">
        <v>17</v>
      </c>
      <c r="M139" t="s">
        <v>18</v>
      </c>
      <c r="N139">
        <v>4.9000000000000004</v>
      </c>
    </row>
    <row r="140" spans="1:14">
      <c r="A140">
        <v>139</v>
      </c>
      <c r="B140" s="1">
        <v>44929</v>
      </c>
      <c r="C140">
        <v>136</v>
      </c>
      <c r="D140" t="s">
        <v>19</v>
      </c>
      <c r="E140">
        <v>54</v>
      </c>
      <c r="F140" t="str" cm="1">
        <f t="array" ref="F140">_xlfn.IFS(E140&lt;18, "0-17",
     E140&lt;25, "18-24",
     E140&lt;35, "25-34",
     E140&lt;45, "35-44",
     E140&lt;55, "45-54",
     E140&lt;65, "55-64",
     TRUE, "65+")</f>
        <v>45-54</v>
      </c>
      <c r="G140" t="s">
        <v>15</v>
      </c>
      <c r="H140" t="s">
        <v>46</v>
      </c>
      <c r="I140" s="2">
        <v>89.99</v>
      </c>
      <c r="J140">
        <v>2</v>
      </c>
      <c r="K140" s="2">
        <v>179.98</v>
      </c>
      <c r="L140" t="s">
        <v>25</v>
      </c>
      <c r="M140" t="s">
        <v>18</v>
      </c>
      <c r="N140">
        <v>4.5999999999999996</v>
      </c>
    </row>
    <row r="141" spans="1:14">
      <c r="A141">
        <v>140</v>
      </c>
      <c r="B141" s="1">
        <v>44933</v>
      </c>
      <c r="C141">
        <v>128</v>
      </c>
      <c r="D141" t="s">
        <v>14</v>
      </c>
      <c r="E141">
        <v>33</v>
      </c>
      <c r="F141" t="str" cm="1">
        <f t="array" ref="F141">_xlfn.IFS(E141&lt;18, "0-17",
     E141&lt;25, "18-24",
     E141&lt;35, "25-34",
     E141&lt;45, "35-44",
     E141&lt;55, "45-54",
     E141&lt;65, "55-64",
     TRUE, "65+")</f>
        <v>25-34</v>
      </c>
      <c r="G141" t="s">
        <v>23</v>
      </c>
      <c r="H141" t="s">
        <v>37</v>
      </c>
      <c r="I141" s="2">
        <v>24.99</v>
      </c>
      <c r="J141">
        <v>3</v>
      </c>
      <c r="K141" s="2">
        <v>74.97</v>
      </c>
      <c r="L141" t="s">
        <v>17</v>
      </c>
      <c r="M141" t="s">
        <v>26</v>
      </c>
      <c r="N141">
        <v>8.8000000000000007</v>
      </c>
    </row>
    <row r="142" spans="1:14">
      <c r="A142">
        <v>141</v>
      </c>
      <c r="B142" s="1">
        <v>44936</v>
      </c>
      <c r="C142">
        <v>122</v>
      </c>
      <c r="D142" t="s">
        <v>19</v>
      </c>
      <c r="E142">
        <v>48</v>
      </c>
      <c r="F142" t="str" cm="1">
        <f t="array" ref="F142">_xlfn.IFS(E142&lt;18, "0-17",
     E142&lt;25, "18-24",
     E142&lt;35, "25-34",
     E142&lt;45, "35-44",
     E142&lt;55, "45-54",
     E142&lt;65, "55-64",
     TRUE, "65+")</f>
        <v>45-54</v>
      </c>
      <c r="G142" t="s">
        <v>28</v>
      </c>
      <c r="H142" t="s">
        <v>43</v>
      </c>
      <c r="I142" s="2">
        <v>12.99</v>
      </c>
      <c r="J142">
        <v>2</v>
      </c>
      <c r="K142" s="2">
        <v>25.98</v>
      </c>
      <c r="L142" t="s">
        <v>17</v>
      </c>
      <c r="M142" t="s">
        <v>18</v>
      </c>
      <c r="N142">
        <v>5.6</v>
      </c>
    </row>
    <row r="143" spans="1:14">
      <c r="A143">
        <v>142</v>
      </c>
      <c r="B143" s="1">
        <v>44938</v>
      </c>
      <c r="C143">
        <v>188</v>
      </c>
      <c r="D143" t="s">
        <v>14</v>
      </c>
      <c r="E143">
        <v>67</v>
      </c>
      <c r="F143" t="str" cm="1">
        <f t="array" ref="F143">_xlfn.IFS(E143&lt;18, "0-17",
     E143&lt;25, "18-24",
     E143&lt;35, "25-34",
     E143&lt;45, "35-44",
     E143&lt;55, "45-54",
     E143&lt;65, "55-64",
     TRUE, "65+")</f>
        <v>65+</v>
      </c>
      <c r="G143" t="s">
        <v>20</v>
      </c>
      <c r="H143" t="s">
        <v>32</v>
      </c>
      <c r="I143" s="2">
        <v>69.989999999999995</v>
      </c>
      <c r="J143">
        <v>1</v>
      </c>
      <c r="K143" s="2">
        <v>69.989999999999995</v>
      </c>
      <c r="L143" t="s">
        <v>22</v>
      </c>
      <c r="M143" t="s">
        <v>18</v>
      </c>
      <c r="N143">
        <v>6.4</v>
      </c>
    </row>
    <row r="144" spans="1:14">
      <c r="A144">
        <v>143</v>
      </c>
      <c r="B144" s="1">
        <v>44940</v>
      </c>
      <c r="C144">
        <v>180</v>
      </c>
      <c r="D144" t="s">
        <v>19</v>
      </c>
      <c r="E144">
        <v>39</v>
      </c>
      <c r="F144" t="str" cm="1">
        <f t="array" ref="F144">_xlfn.IFS(E144&lt;18, "0-17",
     E144&lt;25, "18-24",
     E144&lt;35, "25-34",
     E144&lt;45, "35-44",
     E144&lt;55, "45-54",
     E144&lt;65, "55-64",
     TRUE, "65+")</f>
        <v>35-44</v>
      </c>
      <c r="G144" t="s">
        <v>15</v>
      </c>
      <c r="H144" t="s">
        <v>48</v>
      </c>
      <c r="I144" s="2">
        <v>29.99</v>
      </c>
      <c r="J144">
        <v>1</v>
      </c>
      <c r="K144" s="2">
        <v>29.99</v>
      </c>
      <c r="L144" t="s">
        <v>17</v>
      </c>
      <c r="M144" t="s">
        <v>18</v>
      </c>
      <c r="N144">
        <v>5.9</v>
      </c>
    </row>
    <row r="145" spans="1:14">
      <c r="A145">
        <v>144</v>
      </c>
      <c r="B145" s="1">
        <v>44943</v>
      </c>
      <c r="C145">
        <v>125</v>
      </c>
      <c r="D145" t="s">
        <v>14</v>
      </c>
      <c r="E145">
        <v>56</v>
      </c>
      <c r="F145" t="str" cm="1">
        <f t="array" ref="F145">_xlfn.IFS(E145&lt;18, "0-17",
     E145&lt;25, "18-24",
     E145&lt;35, "25-34",
     E145&lt;45, "35-44",
     E145&lt;55, "45-54",
     E145&lt;65, "55-64",
     TRUE, "65+")</f>
        <v>55-64</v>
      </c>
      <c r="G145" t="s">
        <v>23</v>
      </c>
      <c r="H145" t="s">
        <v>49</v>
      </c>
      <c r="I145" s="2">
        <v>26.99</v>
      </c>
      <c r="J145">
        <v>2</v>
      </c>
      <c r="K145" s="2">
        <v>53.98</v>
      </c>
      <c r="L145" t="s">
        <v>17</v>
      </c>
      <c r="M145" t="s">
        <v>18</v>
      </c>
      <c r="N145">
        <v>6.8</v>
      </c>
    </row>
    <row r="146" spans="1:14">
      <c r="A146">
        <v>145</v>
      </c>
      <c r="B146" s="1">
        <v>44945</v>
      </c>
      <c r="C146">
        <v>134</v>
      </c>
      <c r="D146" t="s">
        <v>19</v>
      </c>
      <c r="E146">
        <v>44</v>
      </c>
      <c r="F146" t="str" cm="1">
        <f t="array" ref="F146">_xlfn.IFS(E146&lt;18, "0-17",
     E146&lt;25, "18-24",
     E146&lt;35, "25-34",
     E146&lt;45, "35-44",
     E146&lt;55, "45-54",
     E146&lt;65, "55-64",
     TRUE, "65+")</f>
        <v>35-44</v>
      </c>
      <c r="G146" t="s">
        <v>28</v>
      </c>
      <c r="H146" t="s">
        <v>50</v>
      </c>
      <c r="I146" s="2">
        <v>51.99</v>
      </c>
      <c r="J146">
        <v>1</v>
      </c>
      <c r="K146" s="2">
        <v>51.99</v>
      </c>
      <c r="L146" t="s">
        <v>31</v>
      </c>
      <c r="M146" t="s">
        <v>26</v>
      </c>
      <c r="N146">
        <v>4.5999999999999996</v>
      </c>
    </row>
    <row r="147" spans="1:14">
      <c r="A147">
        <v>146</v>
      </c>
      <c r="B147" s="1">
        <v>44947</v>
      </c>
      <c r="C147">
        <v>192</v>
      </c>
      <c r="D147" t="s">
        <v>14</v>
      </c>
      <c r="E147">
        <v>30</v>
      </c>
      <c r="F147" t="str" cm="1">
        <f t="array" ref="F147">_xlfn.IFS(E147&lt;18, "0-17",
     E147&lt;25, "18-24",
     E147&lt;35, "25-34",
     E147&lt;45, "35-44",
     E147&lt;55, "45-54",
     E147&lt;65, "55-64",
     TRUE, "65+")</f>
        <v>25-34</v>
      </c>
      <c r="G147" t="s">
        <v>20</v>
      </c>
      <c r="H147" t="s">
        <v>44</v>
      </c>
      <c r="I147" s="2">
        <v>11.99</v>
      </c>
      <c r="J147">
        <v>5</v>
      </c>
      <c r="K147" s="2">
        <v>59.95</v>
      </c>
      <c r="L147" t="s">
        <v>17</v>
      </c>
      <c r="M147" t="s">
        <v>18</v>
      </c>
      <c r="N147">
        <v>0</v>
      </c>
    </row>
    <row r="148" spans="1:14">
      <c r="A148">
        <v>147</v>
      </c>
      <c r="B148" s="1">
        <v>44950</v>
      </c>
      <c r="C148">
        <v>138</v>
      </c>
      <c r="D148" t="s">
        <v>19</v>
      </c>
      <c r="E148">
        <v>61</v>
      </c>
      <c r="F148" t="str" cm="1">
        <f t="array" ref="F148">_xlfn.IFS(E148&lt;18, "0-17",
     E148&lt;25, "18-24",
     E148&lt;35, "25-34",
     E148&lt;45, "35-44",
     E148&lt;55, "45-54",
     E148&lt;65, "55-64",
     TRUE, "65+")</f>
        <v>55-64</v>
      </c>
      <c r="G148" t="s">
        <v>15</v>
      </c>
      <c r="H148" t="s">
        <v>16</v>
      </c>
      <c r="I148" s="2">
        <v>54.99</v>
      </c>
      <c r="J148">
        <v>2</v>
      </c>
      <c r="K148" s="2">
        <v>109.98</v>
      </c>
      <c r="L148" t="s">
        <v>17</v>
      </c>
      <c r="M148" t="s">
        <v>18</v>
      </c>
      <c r="N148">
        <v>2.8</v>
      </c>
    </row>
    <row r="149" spans="1:14">
      <c r="A149">
        <v>148</v>
      </c>
      <c r="B149" s="1">
        <v>44952</v>
      </c>
      <c r="C149">
        <v>130</v>
      </c>
      <c r="D149" t="s">
        <v>14</v>
      </c>
      <c r="E149">
        <v>49</v>
      </c>
      <c r="F149" t="str" cm="1">
        <f t="array" ref="F149">_xlfn.IFS(E149&lt;18, "0-17",
     E149&lt;25, "18-24",
     E149&lt;35, "25-34",
     E149&lt;45, "35-44",
     E149&lt;55, "45-54",
     E149&lt;65, "55-64",
     TRUE, "65+")</f>
        <v>45-54</v>
      </c>
      <c r="G149" t="s">
        <v>23</v>
      </c>
      <c r="H149" t="s">
        <v>33</v>
      </c>
      <c r="I149" s="2">
        <v>39.99</v>
      </c>
      <c r="J149">
        <v>3</v>
      </c>
      <c r="K149" s="2">
        <v>119.97</v>
      </c>
      <c r="L149" t="s">
        <v>17</v>
      </c>
      <c r="M149" t="s">
        <v>18</v>
      </c>
      <c r="N149">
        <v>4</v>
      </c>
    </row>
    <row r="150" spans="1:14">
      <c r="A150">
        <v>149</v>
      </c>
      <c r="B150" s="1">
        <v>44955</v>
      </c>
      <c r="C150">
        <v>128</v>
      </c>
      <c r="D150" t="s">
        <v>19</v>
      </c>
      <c r="E150">
        <v>36</v>
      </c>
      <c r="F150" t="str" cm="1">
        <f t="array" ref="F150">_xlfn.IFS(E150&lt;18, "0-17",
     E150&lt;25, "18-24",
     E150&lt;35, "25-34",
     E150&lt;45, "35-44",
     E150&lt;55, "45-54",
     E150&lt;65, "55-64",
     TRUE, "65+")</f>
        <v>35-44</v>
      </c>
      <c r="G150" t="s">
        <v>28</v>
      </c>
      <c r="H150" t="s">
        <v>29</v>
      </c>
      <c r="I150" s="2">
        <v>44.99</v>
      </c>
      <c r="J150">
        <v>2</v>
      </c>
      <c r="K150" s="2">
        <v>89.98</v>
      </c>
      <c r="L150" t="s">
        <v>17</v>
      </c>
      <c r="M150" t="s">
        <v>26</v>
      </c>
      <c r="N150">
        <v>8.8000000000000007</v>
      </c>
    </row>
    <row r="151" spans="1:14">
      <c r="A151">
        <v>150</v>
      </c>
      <c r="B151" s="1">
        <v>44957</v>
      </c>
      <c r="C151">
        <v>165</v>
      </c>
      <c r="D151" t="s">
        <v>14</v>
      </c>
      <c r="E151">
        <v>42</v>
      </c>
      <c r="F151" t="str" cm="1">
        <f t="array" ref="F151">_xlfn.IFS(E151&lt;18, "0-17",
     E151&lt;25, "18-24",
     E151&lt;35, "25-34",
     E151&lt;45, "35-44",
     E151&lt;55, "45-54",
     E151&lt;65, "55-64",
     TRUE, "65+")</f>
        <v>35-44</v>
      </c>
      <c r="G151" t="s">
        <v>20</v>
      </c>
      <c r="H151" t="s">
        <v>40</v>
      </c>
      <c r="I151" s="2">
        <v>99.99</v>
      </c>
      <c r="J151">
        <v>1</v>
      </c>
      <c r="K151" s="2">
        <v>99.99</v>
      </c>
      <c r="L151" t="s">
        <v>22</v>
      </c>
      <c r="M151" t="s">
        <v>18</v>
      </c>
      <c r="N151">
        <v>3.7</v>
      </c>
    </row>
    <row r="152" spans="1:14">
      <c r="A152">
        <v>151</v>
      </c>
      <c r="B152" s="1">
        <v>44960</v>
      </c>
      <c r="C152">
        <v>115</v>
      </c>
      <c r="D152" t="s">
        <v>19</v>
      </c>
      <c r="E152">
        <v>60</v>
      </c>
      <c r="F152" t="str" cm="1">
        <f t="array" ref="F152">_xlfn.IFS(E152&lt;18, "0-17",
     E152&lt;25, "18-24",
     E152&lt;35, "25-34",
     E152&lt;45, "35-44",
     E152&lt;55, "45-54",
     E152&lt;65, "55-64",
     TRUE, "65+")</f>
        <v>55-64</v>
      </c>
      <c r="G152" t="s">
        <v>15</v>
      </c>
      <c r="H152" t="s">
        <v>38</v>
      </c>
      <c r="I152" s="2">
        <v>89.99</v>
      </c>
      <c r="J152">
        <v>1</v>
      </c>
      <c r="K152" s="2">
        <v>89.99</v>
      </c>
      <c r="L152" t="s">
        <v>17</v>
      </c>
      <c r="M152" t="s">
        <v>18</v>
      </c>
      <c r="N152">
        <v>0.1</v>
      </c>
    </row>
    <row r="153" spans="1:14">
      <c r="A153">
        <v>152</v>
      </c>
      <c r="B153" s="1">
        <v>44963</v>
      </c>
      <c r="C153">
        <v>182</v>
      </c>
      <c r="D153" t="s">
        <v>14</v>
      </c>
      <c r="E153">
        <v>45</v>
      </c>
      <c r="F153" t="str" cm="1">
        <f t="array" ref="F153">_xlfn.IFS(E153&lt;18, "0-17",
     E153&lt;25, "18-24",
     E153&lt;35, "25-34",
     E153&lt;45, "35-44",
     E153&lt;55, "45-54",
     E153&lt;65, "55-64",
     TRUE, "65+")</f>
        <v>45-54</v>
      </c>
      <c r="G153" t="s">
        <v>23</v>
      </c>
      <c r="H153" t="s">
        <v>24</v>
      </c>
      <c r="I153" s="2">
        <v>33.99</v>
      </c>
      <c r="J153">
        <v>2</v>
      </c>
      <c r="K153" s="2">
        <v>67.98</v>
      </c>
      <c r="L153" t="s">
        <v>17</v>
      </c>
      <c r="M153" t="s">
        <v>18</v>
      </c>
      <c r="N153">
        <v>1.6</v>
      </c>
    </row>
    <row r="154" spans="1:14">
      <c r="A154">
        <v>153</v>
      </c>
      <c r="B154" s="1">
        <v>44965</v>
      </c>
      <c r="C154">
        <v>112</v>
      </c>
      <c r="D154" t="s">
        <v>19</v>
      </c>
      <c r="E154">
        <v>53</v>
      </c>
      <c r="F154" t="str" cm="1">
        <f t="array" ref="F154">_xlfn.IFS(E154&lt;18, "0-17",
     E154&lt;25, "18-24",
     E154&lt;35, "25-34",
     E154&lt;45, "35-44",
     E154&lt;55, "45-54",
     E154&lt;65, "55-64",
     TRUE, "65+")</f>
        <v>45-54</v>
      </c>
      <c r="G154" t="s">
        <v>28</v>
      </c>
      <c r="H154" t="s">
        <v>39</v>
      </c>
      <c r="I154" s="2">
        <v>9.99</v>
      </c>
      <c r="J154">
        <v>4</v>
      </c>
      <c r="K154" s="2">
        <v>39.96</v>
      </c>
      <c r="L154" t="s">
        <v>17</v>
      </c>
      <c r="M154" t="s">
        <v>18</v>
      </c>
      <c r="N154">
        <v>8.6999999999999993</v>
      </c>
    </row>
    <row r="155" spans="1:14">
      <c r="A155">
        <v>154</v>
      </c>
      <c r="B155" s="1">
        <v>44967</v>
      </c>
      <c r="C155">
        <v>153</v>
      </c>
      <c r="D155" t="s">
        <v>14</v>
      </c>
      <c r="E155">
        <v>39</v>
      </c>
      <c r="F155" t="str" cm="1">
        <f t="array" ref="F155">_xlfn.IFS(E155&lt;18, "0-17",
     E155&lt;25, "18-24",
     E155&lt;35, "25-34",
     E155&lt;45, "35-44",
     E155&lt;55, "45-54",
     E155&lt;65, "55-64",
     TRUE, "65+")</f>
        <v>35-44</v>
      </c>
      <c r="G155" t="s">
        <v>20</v>
      </c>
      <c r="H155" t="s">
        <v>21</v>
      </c>
      <c r="I155" s="2">
        <v>49.99</v>
      </c>
      <c r="J155">
        <v>2</v>
      </c>
      <c r="K155" s="2">
        <v>99.98</v>
      </c>
      <c r="L155" t="s">
        <v>17</v>
      </c>
      <c r="M155" t="s">
        <v>26</v>
      </c>
      <c r="N155">
        <v>9.5</v>
      </c>
    </row>
    <row r="156" spans="1:14">
      <c r="A156">
        <v>155</v>
      </c>
      <c r="B156" s="1">
        <v>44969</v>
      </c>
      <c r="C156">
        <v>193</v>
      </c>
      <c r="D156" t="s">
        <v>19</v>
      </c>
      <c r="E156">
        <v>57</v>
      </c>
      <c r="F156" t="str" cm="1">
        <f t="array" ref="F156">_xlfn.IFS(E156&lt;18, "0-17",
     E156&lt;25, "18-24",
     E156&lt;35, "25-34",
     E156&lt;45, "35-44",
     E156&lt;55, "45-54",
     E156&lt;65, "55-64",
     TRUE, "65+")</f>
        <v>55-64</v>
      </c>
      <c r="G156" t="s">
        <v>15</v>
      </c>
      <c r="H156" t="s">
        <v>30</v>
      </c>
      <c r="I156" s="2">
        <v>14.99</v>
      </c>
      <c r="J156">
        <v>3</v>
      </c>
      <c r="K156" s="2">
        <v>44.97</v>
      </c>
      <c r="L156" t="s">
        <v>25</v>
      </c>
      <c r="M156" t="s">
        <v>18</v>
      </c>
      <c r="N156">
        <v>2.2999999999999998</v>
      </c>
    </row>
    <row r="157" spans="1:14">
      <c r="A157">
        <v>156</v>
      </c>
      <c r="B157" s="1">
        <v>44972</v>
      </c>
      <c r="C157">
        <v>176</v>
      </c>
      <c r="D157" t="s">
        <v>14</v>
      </c>
      <c r="E157">
        <v>35</v>
      </c>
      <c r="F157" t="str" cm="1">
        <f t="array" ref="F157">_xlfn.IFS(E157&lt;18, "0-17",
     E157&lt;25, "18-24",
     E157&lt;35, "25-34",
     E157&lt;45, "35-44",
     E157&lt;55, "45-54",
     E157&lt;65, "55-64",
     TRUE, "65+")</f>
        <v>35-44</v>
      </c>
      <c r="G157" t="s">
        <v>23</v>
      </c>
      <c r="H157" t="s">
        <v>41</v>
      </c>
      <c r="I157" s="2">
        <v>139.99</v>
      </c>
      <c r="J157">
        <v>1</v>
      </c>
      <c r="K157" s="2">
        <v>139.99</v>
      </c>
      <c r="L157" t="s">
        <v>17</v>
      </c>
      <c r="M157" t="s">
        <v>18</v>
      </c>
      <c r="N157">
        <v>1.8</v>
      </c>
    </row>
    <row r="158" spans="1:14">
      <c r="A158">
        <v>157</v>
      </c>
      <c r="B158" s="1">
        <v>44975</v>
      </c>
      <c r="C158">
        <v>181</v>
      </c>
      <c r="D158" t="s">
        <v>19</v>
      </c>
      <c r="E158">
        <v>44</v>
      </c>
      <c r="F158" t="str" cm="1">
        <f t="array" ref="F158">_xlfn.IFS(E158&lt;18, "0-17",
     E158&lt;25, "18-24",
     E158&lt;35, "25-34",
     E158&lt;45, "35-44",
     E158&lt;55, "45-54",
     E158&lt;65, "55-64",
     TRUE, "65+")</f>
        <v>35-44</v>
      </c>
      <c r="G158" t="s">
        <v>28</v>
      </c>
      <c r="H158" t="s">
        <v>35</v>
      </c>
      <c r="I158" s="2">
        <v>17.989999999999998</v>
      </c>
      <c r="J158">
        <v>2</v>
      </c>
      <c r="K158" s="2">
        <v>35.979999999999997</v>
      </c>
      <c r="L158" t="s">
        <v>17</v>
      </c>
      <c r="M158" t="s">
        <v>18</v>
      </c>
      <c r="N158">
        <v>9.9</v>
      </c>
    </row>
    <row r="159" spans="1:14">
      <c r="A159">
        <v>158</v>
      </c>
      <c r="B159" s="1">
        <v>44977</v>
      </c>
      <c r="C159">
        <v>170</v>
      </c>
      <c r="D159" t="s">
        <v>14</v>
      </c>
      <c r="E159">
        <v>38</v>
      </c>
      <c r="F159" t="str" cm="1">
        <f t="array" ref="F159">_xlfn.IFS(E159&lt;18, "0-17",
     E159&lt;25, "18-24",
     E159&lt;35, "25-34",
     E159&lt;45, "35-44",
     E159&lt;55, "45-54",
     E159&lt;65, "55-64",
     TRUE, "65+")</f>
        <v>35-44</v>
      </c>
      <c r="G159" t="s">
        <v>20</v>
      </c>
      <c r="H159" t="s">
        <v>32</v>
      </c>
      <c r="I159" s="2">
        <v>64.989999999999995</v>
      </c>
      <c r="J159">
        <v>1</v>
      </c>
      <c r="K159" s="2">
        <v>64.989999999999995</v>
      </c>
      <c r="L159" t="s">
        <v>22</v>
      </c>
      <c r="M159" t="s">
        <v>26</v>
      </c>
      <c r="N159">
        <v>9.1999999999999993</v>
      </c>
    </row>
    <row r="160" spans="1:14">
      <c r="A160">
        <v>159</v>
      </c>
      <c r="B160" s="1">
        <v>44979</v>
      </c>
      <c r="C160">
        <v>142</v>
      </c>
      <c r="D160" t="s">
        <v>19</v>
      </c>
      <c r="E160">
        <v>62</v>
      </c>
      <c r="F160" t="str" cm="1">
        <f t="array" ref="F160">_xlfn.IFS(E160&lt;18, "0-17",
     E160&lt;25, "18-24",
     E160&lt;35, "25-34",
     E160&lt;45, "35-44",
     E160&lt;55, "45-54",
     E160&lt;65, "55-64",
     TRUE, "65+")</f>
        <v>55-64</v>
      </c>
      <c r="G160" t="s">
        <v>15</v>
      </c>
      <c r="H160" t="s">
        <v>42</v>
      </c>
      <c r="I160" s="2">
        <v>199.99</v>
      </c>
      <c r="J160">
        <v>1</v>
      </c>
      <c r="K160" s="2">
        <v>199.99</v>
      </c>
      <c r="L160" t="s">
        <v>17</v>
      </c>
      <c r="M160" t="s">
        <v>18</v>
      </c>
      <c r="N160">
        <v>6.8</v>
      </c>
    </row>
    <row r="161" spans="1:14">
      <c r="A161">
        <v>160</v>
      </c>
      <c r="B161" s="1">
        <v>44982</v>
      </c>
      <c r="C161">
        <v>120</v>
      </c>
      <c r="D161" t="s">
        <v>14</v>
      </c>
      <c r="E161">
        <v>30</v>
      </c>
      <c r="F161" t="str" cm="1">
        <f t="array" ref="F161">_xlfn.IFS(E161&lt;18, "0-17",
     E161&lt;25, "18-24",
     E161&lt;35, "25-34",
     E161&lt;45, "35-44",
     E161&lt;55, "45-54",
     E161&lt;65, "55-64",
     TRUE, "65+")</f>
        <v>25-34</v>
      </c>
      <c r="G161" t="s">
        <v>23</v>
      </c>
      <c r="H161" t="s">
        <v>37</v>
      </c>
      <c r="I161" s="2">
        <v>21.99</v>
      </c>
      <c r="J161">
        <v>4</v>
      </c>
      <c r="K161" s="2">
        <v>87.96</v>
      </c>
      <c r="L161" t="s">
        <v>17</v>
      </c>
      <c r="M161" t="s">
        <v>18</v>
      </c>
      <c r="N161">
        <v>2.1</v>
      </c>
    </row>
    <row r="162" spans="1:14">
      <c r="A162">
        <v>161</v>
      </c>
      <c r="B162" s="1">
        <v>44984</v>
      </c>
      <c r="C162">
        <v>169</v>
      </c>
      <c r="D162" t="s">
        <v>19</v>
      </c>
      <c r="E162">
        <v>51</v>
      </c>
      <c r="F162" t="str" cm="1">
        <f t="array" ref="F162">_xlfn.IFS(E162&lt;18, "0-17",
     E162&lt;25, "18-24",
     E162&lt;35, "25-34",
     E162&lt;45, "35-44",
     E162&lt;55, "45-54",
     E162&lt;65, "55-64",
     TRUE, "65+")</f>
        <v>45-54</v>
      </c>
      <c r="G162" t="s">
        <v>28</v>
      </c>
      <c r="H162" t="s">
        <v>43</v>
      </c>
      <c r="I162" s="2">
        <v>15.99</v>
      </c>
      <c r="J162">
        <v>3</v>
      </c>
      <c r="K162" s="2">
        <v>47.97</v>
      </c>
      <c r="L162" t="s">
        <v>17</v>
      </c>
      <c r="M162" t="s">
        <v>18</v>
      </c>
      <c r="N162">
        <v>5.4</v>
      </c>
    </row>
    <row r="163" spans="1:14">
      <c r="A163">
        <v>162</v>
      </c>
      <c r="B163" s="1">
        <v>44987</v>
      </c>
      <c r="C163">
        <v>131</v>
      </c>
      <c r="D163" t="s">
        <v>14</v>
      </c>
      <c r="E163">
        <v>55</v>
      </c>
      <c r="F163" t="str" cm="1">
        <f t="array" ref="F163">_xlfn.IFS(E163&lt;18, "0-17",
     E163&lt;25, "18-24",
     E163&lt;35, "25-34",
     E163&lt;45, "35-44",
     E163&lt;55, "45-54",
     E163&lt;65, "55-64",
     TRUE, "65+")</f>
        <v>55-64</v>
      </c>
      <c r="G163" t="s">
        <v>20</v>
      </c>
      <c r="H163" t="s">
        <v>36</v>
      </c>
      <c r="I163" s="2">
        <v>84.99</v>
      </c>
      <c r="J163">
        <v>2</v>
      </c>
      <c r="K163" s="2">
        <v>169.98</v>
      </c>
      <c r="L163" t="s">
        <v>31</v>
      </c>
      <c r="M163" t="s">
        <v>26</v>
      </c>
      <c r="N163">
        <v>2.1</v>
      </c>
    </row>
    <row r="164" spans="1:14">
      <c r="A164">
        <v>163</v>
      </c>
      <c r="B164" s="1">
        <v>44990</v>
      </c>
      <c r="C164">
        <v>165</v>
      </c>
      <c r="D164" t="s">
        <v>19</v>
      </c>
      <c r="E164">
        <v>41</v>
      </c>
      <c r="F164" t="str" cm="1">
        <f t="array" ref="F164">_xlfn.IFS(E164&lt;18, "0-17",
     E164&lt;25, "18-24",
     E164&lt;35, "25-34",
     E164&lt;45, "35-44",
     E164&lt;55, "45-54",
     E164&lt;65, "55-64",
     TRUE, "65+")</f>
        <v>35-44</v>
      </c>
      <c r="G164" t="s">
        <v>15</v>
      </c>
      <c r="H164" t="s">
        <v>34</v>
      </c>
      <c r="I164" s="2">
        <v>18.989999999999998</v>
      </c>
      <c r="J164">
        <v>2</v>
      </c>
      <c r="K164" s="2">
        <v>37.979999999999997</v>
      </c>
      <c r="L164" t="s">
        <v>17</v>
      </c>
      <c r="M164" t="s">
        <v>18</v>
      </c>
      <c r="N164">
        <v>3.7</v>
      </c>
    </row>
    <row r="165" spans="1:14">
      <c r="A165">
        <v>164</v>
      </c>
      <c r="B165" s="1">
        <v>44993</v>
      </c>
      <c r="C165">
        <v>187</v>
      </c>
      <c r="D165" t="s">
        <v>14</v>
      </c>
      <c r="E165">
        <v>28</v>
      </c>
      <c r="F165" t="str" cm="1">
        <f t="array" ref="F165">_xlfn.IFS(E165&lt;18, "0-17",
     E165&lt;25, "18-24",
     E165&lt;35, "25-34",
     E165&lt;45, "35-44",
     E165&lt;55, "45-54",
     E165&lt;65, "55-64",
     TRUE, "65+")</f>
        <v>25-34</v>
      </c>
      <c r="G165" t="s">
        <v>23</v>
      </c>
      <c r="H165" t="s">
        <v>45</v>
      </c>
      <c r="I165" s="2">
        <v>59.99</v>
      </c>
      <c r="J165">
        <v>2</v>
      </c>
      <c r="K165" s="2">
        <v>119.98</v>
      </c>
      <c r="L165" t="s">
        <v>17</v>
      </c>
      <c r="M165" t="s">
        <v>18</v>
      </c>
      <c r="N165">
        <v>2.1</v>
      </c>
    </row>
    <row r="166" spans="1:14">
      <c r="A166">
        <v>165</v>
      </c>
      <c r="B166" s="1">
        <v>44995</v>
      </c>
      <c r="C166">
        <v>152</v>
      </c>
      <c r="D166" t="s">
        <v>19</v>
      </c>
      <c r="E166">
        <v>47</v>
      </c>
      <c r="F166" t="str" cm="1">
        <f t="array" ref="F166">_xlfn.IFS(E166&lt;18, "0-17",
     E166&lt;25, "18-24",
     E166&lt;35, "25-34",
     E166&lt;45, "35-44",
     E166&lt;55, "45-54",
     E166&lt;65, "55-64",
     TRUE, "65+")</f>
        <v>45-54</v>
      </c>
      <c r="G166" t="s">
        <v>28</v>
      </c>
      <c r="H166" t="s">
        <v>50</v>
      </c>
      <c r="I166" s="2">
        <v>49.99</v>
      </c>
      <c r="J166">
        <v>1</v>
      </c>
      <c r="K166" s="2">
        <v>49.99</v>
      </c>
      <c r="L166" t="s">
        <v>17</v>
      </c>
      <c r="M166" t="s">
        <v>18</v>
      </c>
      <c r="N166">
        <v>5.6</v>
      </c>
    </row>
    <row r="167" spans="1:14">
      <c r="A167">
        <v>166</v>
      </c>
      <c r="B167" s="1">
        <v>44997</v>
      </c>
      <c r="C167">
        <v>109</v>
      </c>
      <c r="D167" t="s">
        <v>14</v>
      </c>
      <c r="E167">
        <v>58</v>
      </c>
      <c r="F167" t="str" cm="1">
        <f t="array" ref="F167">_xlfn.IFS(E167&lt;18, "0-17",
     E167&lt;25, "18-24",
     E167&lt;35, "25-34",
     E167&lt;45, "35-44",
     E167&lt;55, "45-54",
     E167&lt;65, "55-64",
     TRUE, "65+")</f>
        <v>55-64</v>
      </c>
      <c r="G167" t="s">
        <v>20</v>
      </c>
      <c r="H167" t="s">
        <v>44</v>
      </c>
      <c r="I167" s="2">
        <v>10.99</v>
      </c>
      <c r="J167">
        <v>3</v>
      </c>
      <c r="K167" s="2">
        <v>32.97</v>
      </c>
      <c r="L167" t="s">
        <v>22</v>
      </c>
      <c r="M167" t="s">
        <v>18</v>
      </c>
      <c r="N167">
        <v>0.3</v>
      </c>
    </row>
    <row r="168" spans="1:14">
      <c r="A168">
        <v>167</v>
      </c>
      <c r="B168" s="1">
        <v>45000</v>
      </c>
      <c r="C168">
        <v>117</v>
      </c>
      <c r="D168" t="s">
        <v>19</v>
      </c>
      <c r="E168">
        <v>44</v>
      </c>
      <c r="F168" t="str" cm="1">
        <f t="array" ref="F168">_xlfn.IFS(E168&lt;18, "0-17",
     E168&lt;25, "18-24",
     E168&lt;35, "25-34",
     E168&lt;45, "35-44",
     E168&lt;55, "45-54",
     E168&lt;65, "55-64",
     TRUE, "65+")</f>
        <v>35-44</v>
      </c>
      <c r="G168" t="s">
        <v>15</v>
      </c>
      <c r="H168" t="s">
        <v>46</v>
      </c>
      <c r="I168" s="2">
        <v>79.989999999999995</v>
      </c>
      <c r="J168">
        <v>2</v>
      </c>
      <c r="K168" s="2">
        <v>159.97999999999999</v>
      </c>
      <c r="L168" t="s">
        <v>17</v>
      </c>
      <c r="M168" t="s">
        <v>26</v>
      </c>
      <c r="N168">
        <v>6.5</v>
      </c>
    </row>
    <row r="169" spans="1:14">
      <c r="A169">
        <v>168</v>
      </c>
      <c r="B169" s="1">
        <v>45003</v>
      </c>
      <c r="C169">
        <v>167</v>
      </c>
      <c r="D169" t="s">
        <v>14</v>
      </c>
      <c r="E169">
        <v>52</v>
      </c>
      <c r="F169" t="str" cm="1">
        <f t="array" ref="F169">_xlfn.IFS(E169&lt;18, "0-17",
     E169&lt;25, "18-24",
     E169&lt;35, "25-34",
     E169&lt;45, "35-44",
     E169&lt;55, "45-54",
     E169&lt;65, "55-64",
     TRUE, "65+")</f>
        <v>45-54</v>
      </c>
      <c r="G169" t="s">
        <v>23</v>
      </c>
      <c r="H169" t="s">
        <v>49</v>
      </c>
      <c r="I169" s="2">
        <v>28.99</v>
      </c>
      <c r="J169">
        <v>2</v>
      </c>
      <c r="K169" s="2">
        <v>57.98</v>
      </c>
      <c r="L169" t="s">
        <v>17</v>
      </c>
      <c r="M169" t="s">
        <v>18</v>
      </c>
      <c r="N169">
        <v>7.9</v>
      </c>
    </row>
    <row r="170" spans="1:14">
      <c r="A170">
        <v>169</v>
      </c>
      <c r="B170" s="1">
        <v>45005</v>
      </c>
      <c r="C170">
        <v>107</v>
      </c>
      <c r="D170" t="s">
        <v>19</v>
      </c>
      <c r="E170">
        <v>23</v>
      </c>
      <c r="F170" t="str" cm="1">
        <f t="array" ref="F170">_xlfn.IFS(E170&lt;18, "0-17",
     E170&lt;25, "18-24",
     E170&lt;35, "25-34",
     E170&lt;45, "35-44",
     E170&lt;55, "45-54",
     E170&lt;65, "55-64",
     TRUE, "65+")</f>
        <v>18-24</v>
      </c>
      <c r="G170" t="s">
        <v>28</v>
      </c>
      <c r="H170" t="s">
        <v>29</v>
      </c>
      <c r="I170" s="2">
        <v>38.99</v>
      </c>
      <c r="J170">
        <v>2</v>
      </c>
      <c r="K170" s="2">
        <v>77.98</v>
      </c>
      <c r="L170" t="s">
        <v>17</v>
      </c>
      <c r="M170" t="s">
        <v>18</v>
      </c>
      <c r="N170">
        <v>6</v>
      </c>
    </row>
    <row r="171" spans="1:14">
      <c r="A171">
        <v>170</v>
      </c>
      <c r="B171" s="1">
        <v>45007</v>
      </c>
      <c r="C171">
        <v>136</v>
      </c>
      <c r="D171" t="s">
        <v>14</v>
      </c>
      <c r="E171">
        <v>49</v>
      </c>
      <c r="F171" t="str" cm="1">
        <f t="array" ref="F171">_xlfn.IFS(E171&lt;18, "0-17",
     E171&lt;25, "18-24",
     E171&lt;35, "25-34",
     E171&lt;45, "35-44",
     E171&lt;55, "45-54",
     E171&lt;65, "55-64",
     TRUE, "65+")</f>
        <v>45-54</v>
      </c>
      <c r="G171" t="s">
        <v>20</v>
      </c>
      <c r="H171" t="s">
        <v>21</v>
      </c>
      <c r="I171" s="2">
        <v>39.99</v>
      </c>
      <c r="J171">
        <v>3</v>
      </c>
      <c r="K171" s="2">
        <v>119.97</v>
      </c>
      <c r="L171" t="s">
        <v>17</v>
      </c>
      <c r="M171" t="s">
        <v>18</v>
      </c>
      <c r="N171">
        <v>4.5999999999999996</v>
      </c>
    </row>
    <row r="172" spans="1:14">
      <c r="A172">
        <v>171</v>
      </c>
      <c r="B172" s="1">
        <v>45010</v>
      </c>
      <c r="C172">
        <v>135</v>
      </c>
      <c r="D172" t="s">
        <v>19</v>
      </c>
      <c r="E172">
        <v>32</v>
      </c>
      <c r="F172" t="str" cm="1">
        <f t="array" ref="F172">_xlfn.IFS(E172&lt;18, "0-17",
     E172&lt;25, "18-24",
     E172&lt;35, "25-34",
     E172&lt;45, "35-44",
     E172&lt;55, "45-54",
     E172&lt;65, "55-64",
     TRUE, "65+")</f>
        <v>25-34</v>
      </c>
      <c r="G172" t="s">
        <v>15</v>
      </c>
      <c r="H172" t="s">
        <v>16</v>
      </c>
      <c r="I172" s="2">
        <v>59.99</v>
      </c>
      <c r="J172">
        <v>1</v>
      </c>
      <c r="K172" s="2">
        <v>59.99</v>
      </c>
      <c r="L172" t="s">
        <v>25</v>
      </c>
      <c r="M172" t="s">
        <v>26</v>
      </c>
      <c r="N172">
        <v>8</v>
      </c>
    </row>
    <row r="173" spans="1:14">
      <c r="A173">
        <v>172</v>
      </c>
      <c r="B173" s="1">
        <v>45013</v>
      </c>
      <c r="C173">
        <v>144</v>
      </c>
      <c r="D173" t="s">
        <v>14</v>
      </c>
      <c r="E173">
        <v>27</v>
      </c>
      <c r="F173" t="str" cm="1">
        <f t="array" ref="F173">_xlfn.IFS(E173&lt;18, "0-17",
     E173&lt;25, "18-24",
     E173&lt;35, "25-34",
     E173&lt;45, "35-44",
     E173&lt;55, "45-54",
     E173&lt;65, "55-64",
     TRUE, "65+")</f>
        <v>25-34</v>
      </c>
      <c r="G173" t="s">
        <v>23</v>
      </c>
      <c r="H173" t="s">
        <v>24</v>
      </c>
      <c r="I173" s="2">
        <v>34.99</v>
      </c>
      <c r="J173">
        <v>2</v>
      </c>
      <c r="K173" s="2">
        <v>69.98</v>
      </c>
      <c r="L173" t="s">
        <v>17</v>
      </c>
      <c r="M173" t="s">
        <v>18</v>
      </c>
      <c r="N173">
        <v>4.9000000000000004</v>
      </c>
    </row>
    <row r="174" spans="1:14">
      <c r="A174">
        <v>173</v>
      </c>
      <c r="B174" s="1">
        <v>45015</v>
      </c>
      <c r="C174">
        <v>173</v>
      </c>
      <c r="D174" t="s">
        <v>19</v>
      </c>
      <c r="E174">
        <v>56</v>
      </c>
      <c r="F174" t="str" cm="1">
        <f t="array" ref="F174">_xlfn.IFS(E174&lt;18, "0-17",
     E174&lt;25, "18-24",
     E174&lt;35, "25-34",
     E174&lt;45, "35-44",
     E174&lt;55, "45-54",
     E174&lt;65, "55-64",
     TRUE, "65+")</f>
        <v>55-64</v>
      </c>
      <c r="G174" t="s">
        <v>28</v>
      </c>
      <c r="H174" t="s">
        <v>39</v>
      </c>
      <c r="I174" s="2">
        <v>7.99</v>
      </c>
      <c r="J174">
        <v>4</v>
      </c>
      <c r="K174" s="2">
        <v>31.96</v>
      </c>
      <c r="L174" t="s">
        <v>17</v>
      </c>
      <c r="M174" t="s">
        <v>18</v>
      </c>
      <c r="N174">
        <v>6.9</v>
      </c>
    </row>
    <row r="175" spans="1:14">
      <c r="A175">
        <v>174</v>
      </c>
      <c r="B175" s="1">
        <v>45018</v>
      </c>
      <c r="C175">
        <v>115</v>
      </c>
      <c r="D175" t="s">
        <v>14</v>
      </c>
      <c r="E175">
        <v>63</v>
      </c>
      <c r="F175" t="str" cm="1">
        <f t="array" ref="F175">_xlfn.IFS(E175&lt;18, "0-17",
     E175&lt;25, "18-24",
     E175&lt;35, "25-34",
     E175&lt;45, "35-44",
     E175&lt;55, "45-54",
     E175&lt;65, "55-64",
     TRUE, "65+")</f>
        <v>55-64</v>
      </c>
      <c r="G175" t="s">
        <v>20</v>
      </c>
      <c r="H175" t="s">
        <v>47</v>
      </c>
      <c r="I175" s="2">
        <v>18.989999999999998</v>
      </c>
      <c r="J175">
        <v>1</v>
      </c>
      <c r="K175" s="2">
        <v>18.989999999999998</v>
      </c>
      <c r="L175" t="s">
        <v>22</v>
      </c>
      <c r="M175" t="s">
        <v>18</v>
      </c>
      <c r="N175">
        <v>0.1</v>
      </c>
    </row>
    <row r="176" spans="1:14">
      <c r="A176">
        <v>175</v>
      </c>
      <c r="B176" s="1">
        <v>45021</v>
      </c>
      <c r="C176">
        <v>124</v>
      </c>
      <c r="D176" t="s">
        <v>19</v>
      </c>
      <c r="E176">
        <v>38</v>
      </c>
      <c r="F176" t="str" cm="1">
        <f t="array" ref="F176">_xlfn.IFS(E176&lt;18, "0-17",
     E176&lt;25, "18-24",
     E176&lt;35, "25-34",
     E176&lt;45, "35-44",
     E176&lt;55, "45-54",
     E176&lt;65, "55-64",
     TRUE, "65+")</f>
        <v>35-44</v>
      </c>
      <c r="G176" t="s">
        <v>15</v>
      </c>
      <c r="H176" t="s">
        <v>48</v>
      </c>
      <c r="I176" s="2">
        <v>27.99</v>
      </c>
      <c r="J176">
        <v>2</v>
      </c>
      <c r="K176" s="2">
        <v>55.98</v>
      </c>
      <c r="L176" t="s">
        <v>17</v>
      </c>
      <c r="M176" t="s">
        <v>26</v>
      </c>
      <c r="N176">
        <v>8</v>
      </c>
    </row>
    <row r="177" spans="1:14">
      <c r="A177">
        <v>176</v>
      </c>
      <c r="B177" s="1">
        <v>45024</v>
      </c>
      <c r="C177">
        <v>114</v>
      </c>
      <c r="D177" t="s">
        <v>14</v>
      </c>
      <c r="E177">
        <v>44</v>
      </c>
      <c r="F177" t="str" cm="1">
        <f t="array" ref="F177">_xlfn.IFS(E177&lt;18, "0-17",
     E177&lt;25, "18-24",
     E177&lt;35, "25-34",
     E177&lt;45, "35-44",
     E177&lt;55, "45-54",
     E177&lt;65, "55-64",
     TRUE, "65+")</f>
        <v>35-44</v>
      </c>
      <c r="G177" t="s">
        <v>23</v>
      </c>
      <c r="H177" t="s">
        <v>41</v>
      </c>
      <c r="I177" s="2">
        <v>149.99</v>
      </c>
      <c r="J177">
        <v>1</v>
      </c>
      <c r="K177" s="2">
        <v>149.99</v>
      </c>
      <c r="L177" t="s">
        <v>17</v>
      </c>
      <c r="M177" t="s">
        <v>18</v>
      </c>
      <c r="N177">
        <v>1.9</v>
      </c>
    </row>
    <row r="178" spans="1:14">
      <c r="A178">
        <v>177</v>
      </c>
      <c r="B178" s="1">
        <v>45026</v>
      </c>
      <c r="C178">
        <v>187</v>
      </c>
      <c r="D178" t="s">
        <v>19</v>
      </c>
      <c r="E178">
        <v>29</v>
      </c>
      <c r="F178" t="str" cm="1">
        <f t="array" ref="F178">_xlfn.IFS(E178&lt;18, "0-17",
     E178&lt;25, "18-24",
     E178&lt;35, "25-34",
     E178&lt;45, "35-44",
     E178&lt;55, "45-54",
     E178&lt;65, "55-64",
     TRUE, "65+")</f>
        <v>25-34</v>
      </c>
      <c r="G178" t="s">
        <v>28</v>
      </c>
      <c r="H178" t="s">
        <v>35</v>
      </c>
      <c r="I178" s="2">
        <v>16.989999999999998</v>
      </c>
      <c r="J178">
        <v>3</v>
      </c>
      <c r="K178" s="2">
        <v>50.97</v>
      </c>
      <c r="L178" t="s">
        <v>17</v>
      </c>
      <c r="M178" t="s">
        <v>18</v>
      </c>
      <c r="N178">
        <v>2.1</v>
      </c>
    </row>
    <row r="179" spans="1:14">
      <c r="A179">
        <v>178</v>
      </c>
      <c r="B179" s="1">
        <v>45028</v>
      </c>
      <c r="C179">
        <v>158</v>
      </c>
      <c r="D179" t="s">
        <v>14</v>
      </c>
      <c r="E179">
        <v>66</v>
      </c>
      <c r="F179" t="str" cm="1">
        <f t="array" ref="F179">_xlfn.IFS(E179&lt;18, "0-17",
     E179&lt;25, "18-24",
     E179&lt;35, "25-34",
     E179&lt;45, "35-44",
     E179&lt;55, "45-54",
     E179&lt;65, "55-64",
     TRUE, "65+")</f>
        <v>65+</v>
      </c>
      <c r="G179" t="s">
        <v>20</v>
      </c>
      <c r="H179" t="s">
        <v>32</v>
      </c>
      <c r="I179" s="2">
        <v>59.99</v>
      </c>
      <c r="J179">
        <v>2</v>
      </c>
      <c r="K179" s="2">
        <v>119.98</v>
      </c>
      <c r="L179" t="s">
        <v>17</v>
      </c>
      <c r="M179" t="s">
        <v>18</v>
      </c>
      <c r="N179">
        <v>2.2000000000000002</v>
      </c>
    </row>
    <row r="180" spans="1:14">
      <c r="A180">
        <v>179</v>
      </c>
      <c r="B180" s="1">
        <v>45031</v>
      </c>
      <c r="C180">
        <v>152</v>
      </c>
      <c r="D180" t="s">
        <v>19</v>
      </c>
      <c r="E180">
        <v>52</v>
      </c>
      <c r="F180" t="str" cm="1">
        <f t="array" ref="F180">_xlfn.IFS(E180&lt;18, "0-17",
     E180&lt;25, "18-24",
     E180&lt;35, "25-34",
     E180&lt;45, "35-44",
     E180&lt;55, "45-54",
     E180&lt;65, "55-64",
     TRUE, "65+")</f>
        <v>45-54</v>
      </c>
      <c r="G180" t="s">
        <v>15</v>
      </c>
      <c r="H180" t="s">
        <v>38</v>
      </c>
      <c r="I180" s="2">
        <v>99.99</v>
      </c>
      <c r="J180">
        <v>1</v>
      </c>
      <c r="K180" s="2">
        <v>99.99</v>
      </c>
      <c r="L180" t="s">
        <v>31</v>
      </c>
      <c r="M180" t="s">
        <v>18</v>
      </c>
      <c r="N180">
        <v>5.6</v>
      </c>
    </row>
    <row r="181" spans="1:14">
      <c r="A181">
        <v>180</v>
      </c>
      <c r="B181" s="1">
        <v>45034</v>
      </c>
      <c r="C181">
        <v>144</v>
      </c>
      <c r="D181" t="s">
        <v>14</v>
      </c>
      <c r="E181">
        <v>37</v>
      </c>
      <c r="F181" t="str" cm="1">
        <f t="array" ref="F181">_xlfn.IFS(E181&lt;18, "0-17",
     E181&lt;25, "18-24",
     E181&lt;35, "25-34",
     E181&lt;45, "35-44",
     E181&lt;55, "45-54",
     E181&lt;65, "55-64",
     TRUE, "65+")</f>
        <v>35-44</v>
      </c>
      <c r="G181" t="s">
        <v>23</v>
      </c>
      <c r="H181" t="s">
        <v>33</v>
      </c>
      <c r="I181" s="2">
        <v>44.99</v>
      </c>
      <c r="J181">
        <v>3</v>
      </c>
      <c r="K181" s="2">
        <v>134.97</v>
      </c>
      <c r="L181" t="s">
        <v>17</v>
      </c>
      <c r="M181" t="s">
        <v>26</v>
      </c>
      <c r="N181">
        <v>4.9000000000000004</v>
      </c>
    </row>
    <row r="182" spans="1:14">
      <c r="A182">
        <v>181</v>
      </c>
      <c r="B182" s="1">
        <v>45036</v>
      </c>
      <c r="C182">
        <v>112</v>
      </c>
      <c r="D182" t="s">
        <v>19</v>
      </c>
      <c r="E182">
        <v>48</v>
      </c>
      <c r="F182" t="str" cm="1">
        <f t="array" ref="F182">_xlfn.IFS(E182&lt;18, "0-17",
     E182&lt;25, "18-24",
     E182&lt;35, "25-34",
     E182&lt;45, "35-44",
     E182&lt;55, "45-54",
     E182&lt;65, "55-64",
     TRUE, "65+")</f>
        <v>45-54</v>
      </c>
      <c r="G182" t="s">
        <v>28</v>
      </c>
      <c r="H182" t="s">
        <v>43</v>
      </c>
      <c r="I182" s="2">
        <v>14.99</v>
      </c>
      <c r="J182">
        <v>2</v>
      </c>
      <c r="K182" s="2">
        <v>29.98</v>
      </c>
      <c r="L182" t="s">
        <v>17</v>
      </c>
      <c r="M182" t="s">
        <v>18</v>
      </c>
      <c r="N182">
        <v>8.6999999999999993</v>
      </c>
    </row>
    <row r="183" spans="1:14">
      <c r="A183">
        <v>182</v>
      </c>
      <c r="B183" s="1">
        <v>45038</v>
      </c>
      <c r="C183">
        <v>157</v>
      </c>
      <c r="D183" t="s">
        <v>14</v>
      </c>
      <c r="E183">
        <v>55</v>
      </c>
      <c r="F183" t="str" cm="1">
        <f t="array" ref="F183">_xlfn.IFS(E183&lt;18, "0-17",
     E183&lt;25, "18-24",
     E183&lt;35, "25-34",
     E183&lt;45, "35-44",
     E183&lt;55, "45-54",
     E183&lt;65, "55-64",
     TRUE, "65+")</f>
        <v>55-64</v>
      </c>
      <c r="G183" t="s">
        <v>20</v>
      </c>
      <c r="H183" t="s">
        <v>44</v>
      </c>
      <c r="I183" s="2">
        <v>9.99</v>
      </c>
      <c r="J183">
        <v>4</v>
      </c>
      <c r="K183" s="2">
        <v>39.96</v>
      </c>
      <c r="L183" t="s">
        <v>17</v>
      </c>
      <c r="M183" t="s">
        <v>18</v>
      </c>
      <c r="N183">
        <v>3.3</v>
      </c>
    </row>
    <row r="184" spans="1:14">
      <c r="A184">
        <v>183</v>
      </c>
      <c r="B184" s="1">
        <v>45041</v>
      </c>
      <c r="C184">
        <v>199</v>
      </c>
      <c r="D184" t="s">
        <v>19</v>
      </c>
      <c r="E184">
        <v>41</v>
      </c>
      <c r="F184" t="str" cm="1">
        <f t="array" ref="F184">_xlfn.IFS(E184&lt;18, "0-17",
     E184&lt;25, "18-24",
     E184&lt;35, "25-34",
     E184&lt;45, "35-44",
     E184&lt;55, "45-54",
     E184&lt;65, "55-64",
     TRUE, "65+")</f>
        <v>35-44</v>
      </c>
      <c r="G184" t="s">
        <v>15</v>
      </c>
      <c r="H184" t="s">
        <v>34</v>
      </c>
      <c r="I184" s="2">
        <v>16.989999999999998</v>
      </c>
      <c r="J184">
        <v>3</v>
      </c>
      <c r="K184" s="2">
        <v>50.97</v>
      </c>
      <c r="L184" t="s">
        <v>17</v>
      </c>
      <c r="M184" t="s">
        <v>18</v>
      </c>
      <c r="N184">
        <v>1.9</v>
      </c>
    </row>
    <row r="185" spans="1:14">
      <c r="A185">
        <v>184</v>
      </c>
      <c r="B185" s="1">
        <v>45044</v>
      </c>
      <c r="C185">
        <v>113</v>
      </c>
      <c r="D185" t="s">
        <v>14</v>
      </c>
      <c r="E185">
        <v>28</v>
      </c>
      <c r="F185" t="str" cm="1">
        <f t="array" ref="F185">_xlfn.IFS(E185&lt;18, "0-17",
     E185&lt;25, "18-24",
     E185&lt;35, "25-34",
     E185&lt;45, "35-44",
     E185&lt;55, "45-54",
     E185&lt;65, "55-64",
     TRUE, "65+")</f>
        <v>25-34</v>
      </c>
      <c r="G185" t="s">
        <v>23</v>
      </c>
      <c r="H185" t="s">
        <v>37</v>
      </c>
      <c r="I185" s="2">
        <v>23.99</v>
      </c>
      <c r="J185">
        <v>4</v>
      </c>
      <c r="K185" s="2">
        <v>95.96</v>
      </c>
      <c r="L185" t="s">
        <v>22</v>
      </c>
      <c r="M185" t="s">
        <v>26</v>
      </c>
      <c r="N185">
        <v>0.5</v>
      </c>
    </row>
    <row r="186" spans="1:14">
      <c r="A186">
        <v>185</v>
      </c>
      <c r="B186" s="1">
        <v>45046</v>
      </c>
      <c r="C186">
        <v>135</v>
      </c>
      <c r="D186" t="s">
        <v>19</v>
      </c>
      <c r="E186">
        <v>60</v>
      </c>
      <c r="F186" t="str" cm="1">
        <f t="array" ref="F186">_xlfn.IFS(E186&lt;18, "0-17",
     E186&lt;25, "18-24",
     E186&lt;35, "25-34",
     E186&lt;45, "35-44",
     E186&lt;55, "45-54",
     E186&lt;65, "55-64",
     TRUE, "65+")</f>
        <v>55-64</v>
      </c>
      <c r="G186" t="s">
        <v>28</v>
      </c>
      <c r="H186" t="s">
        <v>50</v>
      </c>
      <c r="I186" s="2">
        <v>52.99</v>
      </c>
      <c r="J186">
        <v>1</v>
      </c>
      <c r="K186" s="2">
        <v>52.99</v>
      </c>
      <c r="L186" t="s">
        <v>17</v>
      </c>
      <c r="M186" t="s">
        <v>18</v>
      </c>
      <c r="N186">
        <v>8</v>
      </c>
    </row>
    <row r="187" spans="1:14">
      <c r="A187">
        <v>186</v>
      </c>
      <c r="B187" s="1">
        <v>45049</v>
      </c>
      <c r="C187">
        <v>151</v>
      </c>
      <c r="D187" t="s">
        <v>14</v>
      </c>
      <c r="E187">
        <v>46</v>
      </c>
      <c r="F187" t="str" cm="1">
        <f t="array" ref="F187">_xlfn.IFS(E187&lt;18, "0-17",
     E187&lt;25, "18-24",
     E187&lt;35, "25-34",
     E187&lt;45, "35-44",
     E187&lt;55, "45-54",
     E187&lt;65, "55-64",
     TRUE, "65+")</f>
        <v>45-54</v>
      </c>
      <c r="G187" t="s">
        <v>20</v>
      </c>
      <c r="H187" t="s">
        <v>40</v>
      </c>
      <c r="I187" s="2">
        <v>89.99</v>
      </c>
      <c r="J187">
        <v>2</v>
      </c>
      <c r="K187" s="2">
        <v>179.98</v>
      </c>
      <c r="L187" t="s">
        <v>17</v>
      </c>
      <c r="M187" t="s">
        <v>18</v>
      </c>
      <c r="N187">
        <v>1.6</v>
      </c>
    </row>
    <row r="188" spans="1:14">
      <c r="A188">
        <v>187</v>
      </c>
      <c r="B188" s="1">
        <v>45052</v>
      </c>
      <c r="C188">
        <v>132</v>
      </c>
      <c r="D188" t="s">
        <v>19</v>
      </c>
      <c r="E188">
        <v>39</v>
      </c>
      <c r="F188" t="str" cm="1">
        <f t="array" ref="F188">_xlfn.IFS(E188&lt;18, "0-17",
     E188&lt;25, "18-24",
     E188&lt;35, "25-34",
     E188&lt;45, "35-44",
     E188&lt;55, "45-54",
     E188&lt;65, "55-64",
     TRUE, "65+")</f>
        <v>35-44</v>
      </c>
      <c r="G188" t="s">
        <v>15</v>
      </c>
      <c r="H188" t="s">
        <v>42</v>
      </c>
      <c r="I188" s="2">
        <v>229.99</v>
      </c>
      <c r="J188">
        <v>1</v>
      </c>
      <c r="K188" s="2">
        <v>229.99</v>
      </c>
      <c r="L188" t="s">
        <v>17</v>
      </c>
      <c r="M188" t="s">
        <v>18</v>
      </c>
      <c r="N188">
        <v>9.4</v>
      </c>
    </row>
    <row r="189" spans="1:14">
      <c r="A189">
        <v>188</v>
      </c>
      <c r="B189" s="1">
        <v>45054</v>
      </c>
      <c r="C189">
        <v>109</v>
      </c>
      <c r="D189" t="s">
        <v>14</v>
      </c>
      <c r="E189">
        <v>34</v>
      </c>
      <c r="F189" t="str" cm="1">
        <f t="array" ref="F189">_xlfn.IFS(E189&lt;18, "0-17",
     E189&lt;25, "18-24",
     E189&lt;35, "25-34",
     E189&lt;45, "35-44",
     E189&lt;55, "45-54",
     E189&lt;65, "55-64",
     TRUE, "65+")</f>
        <v>25-34</v>
      </c>
      <c r="G189" t="s">
        <v>23</v>
      </c>
      <c r="H189" t="s">
        <v>45</v>
      </c>
      <c r="I189" s="2">
        <v>65.989999999999995</v>
      </c>
      <c r="J189">
        <v>1</v>
      </c>
      <c r="K189" s="2">
        <v>65.989999999999995</v>
      </c>
      <c r="L189" t="s">
        <v>25</v>
      </c>
      <c r="M189" t="s">
        <v>18</v>
      </c>
      <c r="N189">
        <v>0.3</v>
      </c>
    </row>
    <row r="190" spans="1:14">
      <c r="A190">
        <v>189</v>
      </c>
      <c r="B190" s="1">
        <v>45056</v>
      </c>
      <c r="C190">
        <v>133</v>
      </c>
      <c r="D190" t="s">
        <v>19</v>
      </c>
      <c r="E190">
        <v>50</v>
      </c>
      <c r="F190" t="str" cm="1">
        <f t="array" ref="F190">_xlfn.IFS(E190&lt;18, "0-17",
     E190&lt;25, "18-24",
     E190&lt;35, "25-34",
     E190&lt;45, "35-44",
     E190&lt;55, "45-54",
     E190&lt;65, "55-64",
     TRUE, "65+")</f>
        <v>45-54</v>
      </c>
      <c r="G190" t="s">
        <v>28</v>
      </c>
      <c r="H190" t="s">
        <v>29</v>
      </c>
      <c r="I190" s="2">
        <v>42.99</v>
      </c>
      <c r="J190">
        <v>2</v>
      </c>
      <c r="K190" s="2">
        <v>85.98</v>
      </c>
      <c r="L190" t="s">
        <v>17</v>
      </c>
      <c r="M190" t="s">
        <v>26</v>
      </c>
      <c r="N190">
        <v>5.3</v>
      </c>
    </row>
    <row r="191" spans="1:14">
      <c r="A191">
        <v>190</v>
      </c>
      <c r="B191" s="1">
        <v>45059</v>
      </c>
      <c r="C191">
        <v>197</v>
      </c>
      <c r="D191" t="s">
        <v>14</v>
      </c>
      <c r="E191">
        <v>27</v>
      </c>
      <c r="F191" t="str" cm="1">
        <f t="array" ref="F191">_xlfn.IFS(E191&lt;18, "0-17",
     E191&lt;25, "18-24",
     E191&lt;35, "25-34",
     E191&lt;45, "35-44",
     E191&lt;55, "45-54",
     E191&lt;65, "55-64",
     TRUE, "65+")</f>
        <v>25-34</v>
      </c>
      <c r="G191" t="s">
        <v>20</v>
      </c>
      <c r="H191" t="s">
        <v>21</v>
      </c>
      <c r="I191" s="2">
        <v>44.99</v>
      </c>
      <c r="J191">
        <v>1</v>
      </c>
      <c r="K191" s="2">
        <v>44.99</v>
      </c>
      <c r="L191" t="s">
        <v>17</v>
      </c>
      <c r="M191" t="s">
        <v>18</v>
      </c>
      <c r="N191">
        <v>8.6</v>
      </c>
    </row>
    <row r="192" spans="1:14">
      <c r="A192">
        <v>191</v>
      </c>
      <c r="B192" s="1">
        <v>45061</v>
      </c>
      <c r="C192">
        <v>106</v>
      </c>
      <c r="D192" t="s">
        <v>19</v>
      </c>
      <c r="E192">
        <v>62</v>
      </c>
      <c r="F192" t="str" cm="1">
        <f t="array" ref="F192">_xlfn.IFS(E192&lt;18, "0-17",
     E192&lt;25, "18-24",
     E192&lt;35, "25-34",
     E192&lt;45, "35-44",
     E192&lt;55, "45-54",
     E192&lt;65, "55-64",
     TRUE, "65+")</f>
        <v>55-64</v>
      </c>
      <c r="G192" t="s">
        <v>15</v>
      </c>
      <c r="H192" t="s">
        <v>46</v>
      </c>
      <c r="I192" s="2">
        <v>89.99</v>
      </c>
      <c r="J192">
        <v>2</v>
      </c>
      <c r="K192" s="2">
        <v>179.98</v>
      </c>
      <c r="L192" t="s">
        <v>17</v>
      </c>
      <c r="M192" t="s">
        <v>18</v>
      </c>
      <c r="N192">
        <v>5.9</v>
      </c>
    </row>
    <row r="193" spans="1:14">
      <c r="A193">
        <v>192</v>
      </c>
      <c r="B193" s="1">
        <v>45064</v>
      </c>
      <c r="C193">
        <v>186</v>
      </c>
      <c r="D193" t="s">
        <v>14</v>
      </c>
      <c r="E193">
        <v>42</v>
      </c>
      <c r="F193" t="str" cm="1">
        <f t="array" ref="F193">_xlfn.IFS(E193&lt;18, "0-17",
     E193&lt;25, "18-24",
     E193&lt;35, "25-34",
     E193&lt;45, "35-44",
     E193&lt;55, "45-54",
     E193&lt;65, "55-64",
     TRUE, "65+")</f>
        <v>35-44</v>
      </c>
      <c r="G193" t="s">
        <v>23</v>
      </c>
      <c r="H193" t="s">
        <v>49</v>
      </c>
      <c r="I193" s="2">
        <v>29.99</v>
      </c>
      <c r="J193">
        <v>2</v>
      </c>
      <c r="K193" s="2">
        <v>59.98</v>
      </c>
      <c r="L193" t="s">
        <v>17</v>
      </c>
      <c r="M193" t="s">
        <v>18</v>
      </c>
      <c r="N193">
        <v>6.6</v>
      </c>
    </row>
    <row r="194" spans="1:14">
      <c r="A194">
        <v>193</v>
      </c>
      <c r="B194" s="1">
        <v>45066</v>
      </c>
      <c r="C194">
        <v>196</v>
      </c>
      <c r="D194" t="s">
        <v>19</v>
      </c>
      <c r="E194">
        <v>33</v>
      </c>
      <c r="F194" t="str" cm="1">
        <f t="array" ref="F194">_xlfn.IFS(E194&lt;18, "0-17",
     E194&lt;25, "18-24",
     E194&lt;35, "25-34",
     E194&lt;45, "35-44",
     E194&lt;55, "45-54",
     E194&lt;65, "55-64",
     TRUE, "65+")</f>
        <v>25-34</v>
      </c>
      <c r="G194" t="s">
        <v>28</v>
      </c>
      <c r="H194" t="s">
        <v>39</v>
      </c>
      <c r="I194" s="2">
        <v>8.99</v>
      </c>
      <c r="J194">
        <v>3</v>
      </c>
      <c r="K194" s="2">
        <v>26.97</v>
      </c>
      <c r="L194" t="s">
        <v>22</v>
      </c>
      <c r="M194" t="s">
        <v>18</v>
      </c>
      <c r="N194">
        <v>2.2000000000000002</v>
      </c>
    </row>
    <row r="195" spans="1:14">
      <c r="A195">
        <v>194</v>
      </c>
      <c r="B195" s="1">
        <v>45068</v>
      </c>
      <c r="C195">
        <v>111</v>
      </c>
      <c r="D195" t="s">
        <v>14</v>
      </c>
      <c r="E195">
        <v>57</v>
      </c>
      <c r="F195" t="str" cm="1">
        <f t="array" ref="F195">_xlfn.IFS(E195&lt;18, "0-17",
     E195&lt;25, "18-24",
     E195&lt;35, "25-34",
     E195&lt;45, "35-44",
     E195&lt;55, "45-54",
     E195&lt;65, "55-64",
     TRUE, "65+")</f>
        <v>55-64</v>
      </c>
      <c r="G195" t="s">
        <v>20</v>
      </c>
      <c r="H195" t="s">
        <v>32</v>
      </c>
      <c r="I195" s="2">
        <v>69.989999999999995</v>
      </c>
      <c r="J195">
        <v>1</v>
      </c>
      <c r="K195" s="2">
        <v>69.989999999999995</v>
      </c>
      <c r="L195" t="s">
        <v>17</v>
      </c>
      <c r="M195" t="s">
        <v>18</v>
      </c>
      <c r="N195">
        <v>1.9</v>
      </c>
    </row>
    <row r="196" spans="1:14">
      <c r="A196">
        <v>195</v>
      </c>
      <c r="B196" s="1">
        <v>45071</v>
      </c>
      <c r="C196">
        <v>166</v>
      </c>
      <c r="D196" t="s">
        <v>19</v>
      </c>
      <c r="E196">
        <v>44</v>
      </c>
      <c r="F196" t="str" cm="1">
        <f t="array" ref="F196">_xlfn.IFS(E196&lt;18, "0-17",
     E196&lt;25, "18-24",
     E196&lt;35, "25-34",
     E196&lt;45, "35-44",
     E196&lt;55, "45-54",
     E196&lt;65, "55-64",
     TRUE, "65+")</f>
        <v>35-44</v>
      </c>
      <c r="G196" t="s">
        <v>15</v>
      </c>
      <c r="H196" t="s">
        <v>30</v>
      </c>
      <c r="I196" s="2">
        <v>12.99</v>
      </c>
      <c r="J196">
        <v>4</v>
      </c>
      <c r="K196" s="2">
        <v>51.96</v>
      </c>
      <c r="L196" t="s">
        <v>17</v>
      </c>
      <c r="M196" t="s">
        <v>26</v>
      </c>
      <c r="N196">
        <v>4.9000000000000004</v>
      </c>
    </row>
    <row r="197" spans="1:14">
      <c r="A197">
        <v>196</v>
      </c>
      <c r="B197" s="1">
        <v>45074</v>
      </c>
      <c r="C197">
        <v>126</v>
      </c>
      <c r="D197" t="s">
        <v>14</v>
      </c>
      <c r="E197">
        <v>26</v>
      </c>
      <c r="F197" t="str" cm="1">
        <f t="array" ref="F197">_xlfn.IFS(E197&lt;18, "0-17",
     E197&lt;25, "18-24",
     E197&lt;35, "25-34",
     E197&lt;45, "35-44",
     E197&lt;55, "45-54",
     E197&lt;65, "55-64",
     TRUE, "65+")</f>
        <v>25-34</v>
      </c>
      <c r="G197" t="s">
        <v>23</v>
      </c>
      <c r="H197" t="s">
        <v>24</v>
      </c>
      <c r="I197" s="2">
        <v>32.99</v>
      </c>
      <c r="J197">
        <v>2</v>
      </c>
      <c r="K197" s="2">
        <v>65.98</v>
      </c>
      <c r="L197" t="s">
        <v>17</v>
      </c>
      <c r="M197" t="s">
        <v>18</v>
      </c>
      <c r="N197">
        <v>3.1</v>
      </c>
    </row>
    <row r="198" spans="1:14">
      <c r="A198">
        <v>197</v>
      </c>
      <c r="B198" s="1">
        <v>45076</v>
      </c>
      <c r="C198">
        <v>168</v>
      </c>
      <c r="D198" t="s">
        <v>19</v>
      </c>
      <c r="E198">
        <v>53</v>
      </c>
      <c r="F198" t="str" cm="1">
        <f t="array" ref="F198">_xlfn.IFS(E198&lt;18, "0-17",
     E198&lt;25, "18-24",
     E198&lt;35, "25-34",
     E198&lt;45, "35-44",
     E198&lt;55, "45-54",
     E198&lt;65, "55-64",
     TRUE, "65+")</f>
        <v>45-54</v>
      </c>
      <c r="G198" t="s">
        <v>28</v>
      </c>
      <c r="H198" t="s">
        <v>35</v>
      </c>
      <c r="I198" s="2">
        <v>18.989999999999998</v>
      </c>
      <c r="J198">
        <v>2</v>
      </c>
      <c r="K198" s="2">
        <v>37.979999999999997</v>
      </c>
      <c r="L198" t="s">
        <v>31</v>
      </c>
      <c r="M198" t="s">
        <v>18</v>
      </c>
      <c r="N198">
        <v>3.1</v>
      </c>
    </row>
    <row r="199" spans="1:14">
      <c r="A199">
        <v>198</v>
      </c>
      <c r="B199" s="1">
        <v>45079</v>
      </c>
      <c r="C199">
        <v>180</v>
      </c>
      <c r="D199" t="s">
        <v>14</v>
      </c>
      <c r="E199">
        <v>60</v>
      </c>
      <c r="F199" t="str" cm="1">
        <f t="array" ref="F199">_xlfn.IFS(E199&lt;18, "0-17",
     E199&lt;25, "18-24",
     E199&lt;35, "25-34",
     E199&lt;45, "35-44",
     E199&lt;55, "45-54",
     E199&lt;65, "55-64",
     TRUE, "65+")</f>
        <v>55-64</v>
      </c>
      <c r="G199" t="s">
        <v>20</v>
      </c>
      <c r="H199" t="s">
        <v>36</v>
      </c>
      <c r="I199" s="2">
        <v>79.989999999999995</v>
      </c>
      <c r="J199">
        <v>1</v>
      </c>
      <c r="K199" s="2">
        <v>79.989999999999995</v>
      </c>
      <c r="L199" t="s">
        <v>17</v>
      </c>
      <c r="M199" t="s">
        <v>18</v>
      </c>
      <c r="N199">
        <v>5.9</v>
      </c>
    </row>
    <row r="200" spans="1:14">
      <c r="A200">
        <v>199</v>
      </c>
      <c r="B200" s="1">
        <v>45082</v>
      </c>
      <c r="C200">
        <v>166</v>
      </c>
      <c r="D200" t="s">
        <v>19</v>
      </c>
      <c r="E200">
        <v>38</v>
      </c>
      <c r="F200" t="str" cm="1">
        <f t="array" ref="F200">_xlfn.IFS(E200&lt;18, "0-17",
     E200&lt;25, "18-24",
     E200&lt;35, "25-34",
     E200&lt;45, "35-44",
     E200&lt;55, "45-54",
     E200&lt;65, "55-64",
     TRUE, "65+")</f>
        <v>35-44</v>
      </c>
      <c r="G200" t="s">
        <v>15</v>
      </c>
      <c r="H200" t="s">
        <v>38</v>
      </c>
      <c r="I200" s="2">
        <v>89.99</v>
      </c>
      <c r="J200">
        <v>2</v>
      </c>
      <c r="K200" s="2">
        <v>179.98</v>
      </c>
      <c r="L200" t="s">
        <v>17</v>
      </c>
      <c r="M200" t="s">
        <v>18</v>
      </c>
      <c r="N200">
        <v>4.9000000000000004</v>
      </c>
    </row>
    <row r="201" spans="1:14">
      <c r="A201">
        <v>200</v>
      </c>
      <c r="B201" s="1">
        <v>45085</v>
      </c>
      <c r="C201">
        <v>126</v>
      </c>
      <c r="D201" t="s">
        <v>14</v>
      </c>
      <c r="E201">
        <v>31</v>
      </c>
      <c r="F201" t="str" cm="1">
        <f t="array" ref="F201">_xlfn.IFS(E201&lt;18, "0-17",
     E201&lt;25, "18-24",
     E201&lt;35, "25-34",
     E201&lt;45, "35-44",
     E201&lt;55, "45-54",
     E201&lt;65, "55-64",
     TRUE, "65+")</f>
        <v>25-34</v>
      </c>
      <c r="G201" t="s">
        <v>23</v>
      </c>
      <c r="H201" t="s">
        <v>37</v>
      </c>
      <c r="I201" s="2">
        <v>24.99</v>
      </c>
      <c r="J201">
        <v>3</v>
      </c>
      <c r="K201" s="2">
        <v>74.97</v>
      </c>
      <c r="L201" t="s">
        <v>17</v>
      </c>
      <c r="M201" t="s">
        <v>26</v>
      </c>
      <c r="N201">
        <v>3.1</v>
      </c>
    </row>
    <row r="202" spans="1:14">
      <c r="A202">
        <v>201</v>
      </c>
      <c r="B202" s="1">
        <v>45087</v>
      </c>
      <c r="C202">
        <v>112</v>
      </c>
      <c r="D202" t="s">
        <v>19</v>
      </c>
      <c r="E202">
        <v>49</v>
      </c>
      <c r="F202" t="str" cm="1">
        <f t="array" ref="F202">_xlfn.IFS(E202&lt;18, "0-17",
     E202&lt;25, "18-24",
     E202&lt;35, "25-34",
     E202&lt;45, "35-44",
     E202&lt;55, "45-54",
     E202&lt;65, "55-64",
     TRUE, "65+")</f>
        <v>45-54</v>
      </c>
      <c r="G202" t="s">
        <v>28</v>
      </c>
      <c r="H202" t="s">
        <v>43</v>
      </c>
      <c r="I202" s="2">
        <v>13.99</v>
      </c>
      <c r="J202">
        <v>4</v>
      </c>
      <c r="K202" s="2">
        <v>55.96</v>
      </c>
      <c r="L202" t="s">
        <v>22</v>
      </c>
      <c r="M202" t="s">
        <v>18</v>
      </c>
      <c r="N202">
        <v>8.6999999999999993</v>
      </c>
    </row>
    <row r="203" spans="1:14">
      <c r="A203">
        <v>202</v>
      </c>
      <c r="B203" s="1">
        <v>45089</v>
      </c>
      <c r="C203">
        <v>105</v>
      </c>
      <c r="D203" t="s">
        <v>14</v>
      </c>
      <c r="E203">
        <v>45</v>
      </c>
      <c r="F203" t="str" cm="1">
        <f t="array" ref="F203">_xlfn.IFS(E203&lt;18, "0-17",
     E203&lt;25, "18-24",
     E203&lt;35, "25-34",
     E203&lt;45, "35-44",
     E203&lt;55, "45-54",
     E203&lt;65, "55-64",
     TRUE, "65+")</f>
        <v>45-54</v>
      </c>
      <c r="G203" t="s">
        <v>20</v>
      </c>
      <c r="H203" t="s">
        <v>44</v>
      </c>
      <c r="I203" s="2">
        <v>11.99</v>
      </c>
      <c r="J203">
        <v>3</v>
      </c>
      <c r="K203" s="2">
        <v>35.97</v>
      </c>
      <c r="L203" t="s">
        <v>17</v>
      </c>
      <c r="M203" t="s">
        <v>18</v>
      </c>
      <c r="N203">
        <v>3.7</v>
      </c>
    </row>
    <row r="204" spans="1:14">
      <c r="A204">
        <v>203</v>
      </c>
      <c r="B204" s="1">
        <v>45092</v>
      </c>
      <c r="C204">
        <v>159</v>
      </c>
      <c r="D204" t="s">
        <v>19</v>
      </c>
      <c r="E204">
        <v>37</v>
      </c>
      <c r="F204" t="str" cm="1">
        <f t="array" ref="F204">_xlfn.IFS(E204&lt;18, "0-17",
     E204&lt;25, "18-24",
     E204&lt;35, "25-34",
     E204&lt;45, "35-44",
     E204&lt;55, "45-54",
     E204&lt;65, "55-64",
     TRUE, "65+")</f>
        <v>35-44</v>
      </c>
      <c r="G204" t="s">
        <v>15</v>
      </c>
      <c r="H204" t="s">
        <v>16</v>
      </c>
      <c r="I204" s="2">
        <v>54.99</v>
      </c>
      <c r="J204">
        <v>2</v>
      </c>
      <c r="K204" s="2">
        <v>109.98</v>
      </c>
      <c r="L204" t="s">
        <v>17</v>
      </c>
      <c r="M204" t="s">
        <v>18</v>
      </c>
      <c r="N204">
        <v>2.5</v>
      </c>
    </row>
    <row r="205" spans="1:14">
      <c r="A205">
        <v>204</v>
      </c>
      <c r="B205" s="1">
        <v>45095</v>
      </c>
      <c r="C205">
        <v>132</v>
      </c>
      <c r="D205" t="s">
        <v>14</v>
      </c>
      <c r="E205">
        <v>58</v>
      </c>
      <c r="F205" t="str" cm="1">
        <f t="array" ref="F205">_xlfn.IFS(E205&lt;18, "0-17",
     E205&lt;25, "18-24",
     E205&lt;35, "25-34",
     E205&lt;45, "35-44",
     E205&lt;55, "45-54",
     E205&lt;65, "55-64",
     TRUE, "65+")</f>
        <v>55-64</v>
      </c>
      <c r="G205" t="s">
        <v>23</v>
      </c>
      <c r="H205" t="s">
        <v>33</v>
      </c>
      <c r="I205" s="2">
        <v>49.99</v>
      </c>
      <c r="J205">
        <v>2</v>
      </c>
      <c r="K205" s="2">
        <v>99.98</v>
      </c>
      <c r="L205" t="s">
        <v>17</v>
      </c>
      <c r="M205" t="s">
        <v>18</v>
      </c>
      <c r="N205">
        <v>9.4</v>
      </c>
    </row>
    <row r="206" spans="1:14">
      <c r="A206">
        <v>205</v>
      </c>
      <c r="B206" s="1">
        <v>45097</v>
      </c>
      <c r="C206">
        <v>109</v>
      </c>
      <c r="D206" t="s">
        <v>19</v>
      </c>
      <c r="E206">
        <v>31</v>
      </c>
      <c r="F206" t="str" cm="1">
        <f t="array" ref="F206">_xlfn.IFS(E206&lt;18, "0-17",
     E206&lt;25, "18-24",
     E206&lt;35, "25-34",
     E206&lt;45, "35-44",
     E206&lt;55, "45-54",
     E206&lt;65, "55-64",
     TRUE, "65+")</f>
        <v>25-34</v>
      </c>
      <c r="G206" t="s">
        <v>28</v>
      </c>
      <c r="H206" t="s">
        <v>50</v>
      </c>
      <c r="I206" s="2">
        <v>47.99</v>
      </c>
      <c r="J206">
        <v>1</v>
      </c>
      <c r="K206" s="2">
        <v>47.99</v>
      </c>
      <c r="L206" t="s">
        <v>17</v>
      </c>
      <c r="M206" t="s">
        <v>26</v>
      </c>
      <c r="N206">
        <v>0.3</v>
      </c>
    </row>
    <row r="207" spans="1:14">
      <c r="A207">
        <v>206</v>
      </c>
      <c r="B207" s="1">
        <v>45099</v>
      </c>
      <c r="C207">
        <v>117</v>
      </c>
      <c r="D207" t="s">
        <v>14</v>
      </c>
      <c r="E207">
        <v>47</v>
      </c>
      <c r="F207" t="str" cm="1">
        <f t="array" ref="F207">_xlfn.IFS(E207&lt;18, "0-17",
     E207&lt;25, "18-24",
     E207&lt;35, "25-34",
     E207&lt;45, "35-44",
     E207&lt;55, "45-54",
     E207&lt;65, "55-64",
     TRUE, "65+")</f>
        <v>45-54</v>
      </c>
      <c r="G207" t="s">
        <v>20</v>
      </c>
      <c r="H207" t="s">
        <v>21</v>
      </c>
      <c r="I207" s="2">
        <v>39.99</v>
      </c>
      <c r="J207">
        <v>3</v>
      </c>
      <c r="K207" s="2">
        <v>119.97</v>
      </c>
      <c r="L207" t="s">
        <v>25</v>
      </c>
      <c r="M207" t="s">
        <v>18</v>
      </c>
      <c r="N207">
        <v>6.5</v>
      </c>
    </row>
    <row r="208" spans="1:14">
      <c r="A208">
        <v>207</v>
      </c>
      <c r="B208" s="1">
        <v>45102</v>
      </c>
      <c r="C208">
        <v>101</v>
      </c>
      <c r="D208" t="s">
        <v>19</v>
      </c>
      <c r="E208">
        <v>66</v>
      </c>
      <c r="F208" t="str" cm="1">
        <f t="array" ref="F208">_xlfn.IFS(E208&lt;18, "0-17",
     E208&lt;25, "18-24",
     E208&lt;35, "25-34",
     E208&lt;45, "35-44",
     E208&lt;55, "45-54",
     E208&lt;65, "55-64",
     TRUE, "65+")</f>
        <v>65+</v>
      </c>
      <c r="G208" t="s">
        <v>15</v>
      </c>
      <c r="H208" t="s">
        <v>48</v>
      </c>
      <c r="I208" s="2">
        <v>29.99</v>
      </c>
      <c r="J208">
        <v>1</v>
      </c>
      <c r="K208" s="2">
        <v>29.99</v>
      </c>
      <c r="L208" t="s">
        <v>17</v>
      </c>
      <c r="M208" t="s">
        <v>18</v>
      </c>
      <c r="N208">
        <v>9.6999999999999993</v>
      </c>
    </row>
    <row r="209" spans="1:14">
      <c r="A209">
        <v>208</v>
      </c>
      <c r="B209" s="1">
        <v>45105</v>
      </c>
      <c r="C209">
        <v>126</v>
      </c>
      <c r="D209" t="s">
        <v>14</v>
      </c>
      <c r="E209">
        <v>29</v>
      </c>
      <c r="F209" t="str" cm="1">
        <f t="array" ref="F209">_xlfn.IFS(E209&lt;18, "0-17",
     E209&lt;25, "18-24",
     E209&lt;35, "25-34",
     E209&lt;45, "35-44",
     E209&lt;55, "45-54",
     E209&lt;65, "55-64",
     TRUE, "65+")</f>
        <v>25-34</v>
      </c>
      <c r="G209" t="s">
        <v>23</v>
      </c>
      <c r="H209" t="s">
        <v>41</v>
      </c>
      <c r="I209" s="2">
        <v>129.99</v>
      </c>
      <c r="J209">
        <v>2</v>
      </c>
      <c r="K209" s="2">
        <v>259.98</v>
      </c>
      <c r="L209" t="s">
        <v>17</v>
      </c>
      <c r="M209" t="s">
        <v>18</v>
      </c>
      <c r="N209">
        <v>3.1</v>
      </c>
    </row>
    <row r="210" spans="1:14">
      <c r="A210">
        <v>209</v>
      </c>
      <c r="B210" s="1">
        <v>45107</v>
      </c>
      <c r="C210">
        <v>160</v>
      </c>
      <c r="D210" t="s">
        <v>19</v>
      </c>
      <c r="E210">
        <v>40</v>
      </c>
      <c r="F210" t="str" cm="1">
        <f t="array" ref="F210">_xlfn.IFS(E210&lt;18, "0-17",
     E210&lt;25, "18-24",
     E210&lt;35, "25-34",
     E210&lt;45, "35-44",
     E210&lt;55, "45-54",
     E210&lt;65, "55-64",
     TRUE, "65+")</f>
        <v>35-44</v>
      </c>
      <c r="G210" t="s">
        <v>28</v>
      </c>
      <c r="H210" t="s">
        <v>29</v>
      </c>
      <c r="I210" s="2">
        <v>39.99</v>
      </c>
      <c r="J210">
        <v>2</v>
      </c>
      <c r="K210" s="2">
        <v>79.98</v>
      </c>
      <c r="L210" t="s">
        <v>17</v>
      </c>
      <c r="M210" t="s">
        <v>18</v>
      </c>
      <c r="N210">
        <v>5.6</v>
      </c>
    </row>
    <row r="211" spans="1:14">
      <c r="A211">
        <v>210</v>
      </c>
      <c r="B211" s="1">
        <v>45110</v>
      </c>
      <c r="C211">
        <v>115</v>
      </c>
      <c r="D211" t="s">
        <v>14</v>
      </c>
      <c r="E211">
        <v>59</v>
      </c>
      <c r="F211" t="str" cm="1">
        <f t="array" ref="F211">_xlfn.IFS(E211&lt;18, "0-17",
     E211&lt;25, "18-24",
     E211&lt;35, "25-34",
     E211&lt;45, "35-44",
     E211&lt;55, "45-54",
     E211&lt;65, "55-64",
     TRUE, "65+")</f>
        <v>55-64</v>
      </c>
      <c r="G211" t="s">
        <v>20</v>
      </c>
      <c r="H211" t="s">
        <v>32</v>
      </c>
      <c r="I211" s="2">
        <v>64.989999999999995</v>
      </c>
      <c r="J211">
        <v>1</v>
      </c>
      <c r="K211" s="2">
        <v>64.989999999999995</v>
      </c>
      <c r="L211" t="s">
        <v>22</v>
      </c>
      <c r="M211" t="s">
        <v>18</v>
      </c>
      <c r="N211">
        <v>0.1</v>
      </c>
    </row>
    <row r="212" spans="1:14">
      <c r="A212">
        <v>211</v>
      </c>
      <c r="B212" s="1">
        <v>45112</v>
      </c>
      <c r="C212">
        <v>166</v>
      </c>
      <c r="D212" t="s">
        <v>19</v>
      </c>
      <c r="E212">
        <v>46</v>
      </c>
      <c r="F212" t="str" cm="1">
        <f t="array" ref="F212">_xlfn.IFS(E212&lt;18, "0-17",
     E212&lt;25, "18-24",
     E212&lt;35, "25-34",
     E212&lt;45, "35-44",
     E212&lt;55, "45-54",
     E212&lt;65, "55-64",
     TRUE, "65+")</f>
        <v>45-54</v>
      </c>
      <c r="G212" t="s">
        <v>15</v>
      </c>
      <c r="H212" t="s">
        <v>34</v>
      </c>
      <c r="I212" s="2">
        <v>17.989999999999998</v>
      </c>
      <c r="J212">
        <v>3</v>
      </c>
      <c r="K212" s="2">
        <v>53.97</v>
      </c>
      <c r="L212" t="s">
        <v>17</v>
      </c>
      <c r="M212" t="s">
        <v>18</v>
      </c>
      <c r="N212">
        <v>4.9000000000000004</v>
      </c>
    </row>
    <row r="213" spans="1:14">
      <c r="A213">
        <v>212</v>
      </c>
      <c r="B213" s="1">
        <v>45115</v>
      </c>
      <c r="C213">
        <v>120</v>
      </c>
      <c r="D213" t="s">
        <v>14</v>
      </c>
      <c r="E213">
        <v>35</v>
      </c>
      <c r="F213" t="str" cm="1">
        <f t="array" ref="F213">_xlfn.IFS(E213&lt;18, "0-17",
     E213&lt;25, "18-24",
     E213&lt;35, "25-34",
     E213&lt;45, "35-44",
     E213&lt;55, "45-54",
     E213&lt;65, "55-64",
     TRUE, "65+")</f>
        <v>35-44</v>
      </c>
      <c r="G213" t="s">
        <v>23</v>
      </c>
      <c r="H213" t="s">
        <v>45</v>
      </c>
      <c r="I213" s="2">
        <v>55.99</v>
      </c>
      <c r="J213">
        <v>2</v>
      </c>
      <c r="K213" s="2">
        <v>111.98</v>
      </c>
      <c r="L213" t="s">
        <v>17</v>
      </c>
      <c r="M213" t="s">
        <v>26</v>
      </c>
      <c r="N213">
        <v>2.1</v>
      </c>
    </row>
    <row r="214" spans="1:14">
      <c r="A214">
        <v>213</v>
      </c>
      <c r="B214" s="1">
        <v>45117</v>
      </c>
      <c r="C214">
        <v>158</v>
      </c>
      <c r="D214" t="s">
        <v>19</v>
      </c>
      <c r="E214">
        <v>64</v>
      </c>
      <c r="F214" t="str" cm="1">
        <f t="array" ref="F214">_xlfn.IFS(E214&lt;18, "0-17",
     E214&lt;25, "18-24",
     E214&lt;35, "25-34",
     E214&lt;45, "35-44",
     E214&lt;55, "45-54",
     E214&lt;65, "55-64",
     TRUE, "65+")</f>
        <v>55-64</v>
      </c>
      <c r="G214" t="s">
        <v>28</v>
      </c>
      <c r="H214" t="s">
        <v>39</v>
      </c>
      <c r="I214" s="2">
        <v>9.99</v>
      </c>
      <c r="J214">
        <v>4</v>
      </c>
      <c r="K214" s="2">
        <v>39.96</v>
      </c>
      <c r="L214" t="s">
        <v>17</v>
      </c>
      <c r="M214" t="s">
        <v>18</v>
      </c>
      <c r="N214">
        <v>2.2000000000000002</v>
      </c>
    </row>
    <row r="215" spans="1:14">
      <c r="A215">
        <v>214</v>
      </c>
      <c r="B215" s="1">
        <v>45119</v>
      </c>
      <c r="C215">
        <v>113</v>
      </c>
      <c r="D215" t="s">
        <v>14</v>
      </c>
      <c r="E215">
        <v>27</v>
      </c>
      <c r="F215" t="str" cm="1">
        <f t="array" ref="F215">_xlfn.IFS(E215&lt;18, "0-17",
     E215&lt;25, "18-24",
     E215&lt;35, "25-34",
     E215&lt;45, "35-44",
     E215&lt;55, "45-54",
     E215&lt;65, "55-64",
     TRUE, "65+")</f>
        <v>25-34</v>
      </c>
      <c r="G215" t="s">
        <v>20</v>
      </c>
      <c r="H215" t="s">
        <v>47</v>
      </c>
      <c r="I215" s="2">
        <v>19.989999999999998</v>
      </c>
      <c r="J215">
        <v>1</v>
      </c>
      <c r="K215" s="2">
        <v>19.989999999999998</v>
      </c>
      <c r="L215" t="s">
        <v>17</v>
      </c>
      <c r="M215" t="s">
        <v>18</v>
      </c>
      <c r="N215">
        <v>0.5</v>
      </c>
    </row>
    <row r="216" spans="1:14">
      <c r="A216">
        <v>215</v>
      </c>
      <c r="B216" s="1">
        <v>45122</v>
      </c>
      <c r="C216">
        <v>115</v>
      </c>
      <c r="D216" t="s">
        <v>19</v>
      </c>
      <c r="E216">
        <v>52</v>
      </c>
      <c r="F216" t="str" cm="1">
        <f t="array" ref="F216">_xlfn.IFS(E216&lt;18, "0-17",
     E216&lt;25, "18-24",
     E216&lt;35, "25-34",
     E216&lt;45, "35-44",
     E216&lt;55, "45-54",
     E216&lt;65, "55-64",
     TRUE, "65+")</f>
        <v>45-54</v>
      </c>
      <c r="G216" t="s">
        <v>15</v>
      </c>
      <c r="H216" t="s">
        <v>46</v>
      </c>
      <c r="I216" s="2">
        <v>79.989999999999995</v>
      </c>
      <c r="J216">
        <v>2</v>
      </c>
      <c r="K216" s="2">
        <v>159.97999999999999</v>
      </c>
      <c r="L216" t="s">
        <v>31</v>
      </c>
      <c r="M216" t="s">
        <v>18</v>
      </c>
      <c r="N216">
        <v>0.1</v>
      </c>
    </row>
    <row r="217" spans="1:14">
      <c r="A217">
        <v>216</v>
      </c>
      <c r="B217" s="1">
        <v>45125</v>
      </c>
      <c r="C217">
        <v>131</v>
      </c>
      <c r="D217" t="s">
        <v>14</v>
      </c>
      <c r="E217">
        <v>48</v>
      </c>
      <c r="F217" t="str" cm="1">
        <f t="array" ref="F217">_xlfn.IFS(E217&lt;18, "0-17",
     E217&lt;25, "18-24",
     E217&lt;35, "25-34",
     E217&lt;45, "35-44",
     E217&lt;55, "45-54",
     E217&lt;65, "55-64",
     TRUE, "65+")</f>
        <v>45-54</v>
      </c>
      <c r="G217" t="s">
        <v>23</v>
      </c>
      <c r="H217" t="s">
        <v>49</v>
      </c>
      <c r="I217" s="2">
        <v>27.99</v>
      </c>
      <c r="J217">
        <v>2</v>
      </c>
      <c r="K217" s="2">
        <v>55.98</v>
      </c>
      <c r="L217" t="s">
        <v>17</v>
      </c>
      <c r="M217" t="s">
        <v>26</v>
      </c>
      <c r="N217">
        <v>2.1</v>
      </c>
    </row>
    <row r="218" spans="1:14">
      <c r="A218">
        <v>217</v>
      </c>
      <c r="B218" s="1">
        <v>45127</v>
      </c>
      <c r="C218">
        <v>123</v>
      </c>
      <c r="D218" t="s">
        <v>19</v>
      </c>
      <c r="E218">
        <v>42</v>
      </c>
      <c r="F218" t="str" cm="1">
        <f t="array" ref="F218">_xlfn.IFS(E218&lt;18, "0-17",
     E218&lt;25, "18-24",
     E218&lt;35, "25-34",
     E218&lt;45, "35-44",
     E218&lt;55, "45-54",
     E218&lt;65, "55-64",
     TRUE, "65+")</f>
        <v>35-44</v>
      </c>
      <c r="G218" t="s">
        <v>28</v>
      </c>
      <c r="H218" t="s">
        <v>35</v>
      </c>
      <c r="I218" s="2">
        <v>15.99</v>
      </c>
      <c r="J218">
        <v>4</v>
      </c>
      <c r="K218" s="2">
        <v>63.96</v>
      </c>
      <c r="L218" t="s">
        <v>17</v>
      </c>
      <c r="M218" t="s">
        <v>18</v>
      </c>
      <c r="N218">
        <v>8.9</v>
      </c>
    </row>
    <row r="219" spans="1:14">
      <c r="A219">
        <v>218</v>
      </c>
      <c r="B219" s="1">
        <v>45129</v>
      </c>
      <c r="C219">
        <v>116</v>
      </c>
      <c r="D219" t="s">
        <v>14</v>
      </c>
      <c r="E219">
        <v>61</v>
      </c>
      <c r="F219" t="str" cm="1">
        <f t="array" ref="F219">_xlfn.IFS(E219&lt;18, "0-17",
     E219&lt;25, "18-24",
     E219&lt;35, "25-34",
     E219&lt;45, "35-44",
     E219&lt;55, "45-54",
     E219&lt;65, "55-64",
     TRUE, "65+")</f>
        <v>55-64</v>
      </c>
      <c r="G219" t="s">
        <v>20</v>
      </c>
      <c r="H219" t="s">
        <v>44</v>
      </c>
      <c r="I219" s="2">
        <v>10.99</v>
      </c>
      <c r="J219">
        <v>5</v>
      </c>
      <c r="K219" s="2">
        <v>54.95</v>
      </c>
      <c r="L219" t="s">
        <v>17</v>
      </c>
      <c r="M219" t="s">
        <v>18</v>
      </c>
      <c r="N219">
        <v>3.4</v>
      </c>
    </row>
    <row r="220" spans="1:14">
      <c r="A220">
        <v>219</v>
      </c>
      <c r="B220" s="1">
        <v>45132</v>
      </c>
      <c r="C220">
        <v>128</v>
      </c>
      <c r="D220" t="s">
        <v>19</v>
      </c>
      <c r="E220">
        <v>36</v>
      </c>
      <c r="F220" t="str" cm="1">
        <f t="array" ref="F220">_xlfn.IFS(E220&lt;18, "0-17",
     E220&lt;25, "18-24",
     E220&lt;35, "25-34",
     E220&lt;45, "35-44",
     E220&lt;55, "45-54",
     E220&lt;65, "55-64",
     TRUE, "65+")</f>
        <v>35-44</v>
      </c>
      <c r="G220" t="s">
        <v>15</v>
      </c>
      <c r="H220" t="s">
        <v>42</v>
      </c>
      <c r="I220" s="2">
        <v>199.99</v>
      </c>
      <c r="J220">
        <v>1</v>
      </c>
      <c r="K220" s="2">
        <v>199.99</v>
      </c>
      <c r="L220" t="s">
        <v>17</v>
      </c>
      <c r="M220" t="s">
        <v>18</v>
      </c>
      <c r="N220">
        <v>8.8000000000000007</v>
      </c>
    </row>
    <row r="221" spans="1:14">
      <c r="A221">
        <v>220</v>
      </c>
      <c r="B221" s="1">
        <v>45135</v>
      </c>
      <c r="C221">
        <v>112</v>
      </c>
      <c r="D221" t="s">
        <v>14</v>
      </c>
      <c r="E221">
        <v>54</v>
      </c>
      <c r="F221" t="str" cm="1">
        <f t="array" ref="F221">_xlfn.IFS(E221&lt;18, "0-17",
     E221&lt;25, "18-24",
     E221&lt;35, "25-34",
     E221&lt;45, "35-44",
     E221&lt;55, "45-54",
     E221&lt;65, "55-64",
     TRUE, "65+")</f>
        <v>45-54</v>
      </c>
      <c r="G221" t="s">
        <v>23</v>
      </c>
      <c r="H221" t="s">
        <v>37</v>
      </c>
      <c r="I221" s="2">
        <v>22.99</v>
      </c>
      <c r="J221">
        <v>3</v>
      </c>
      <c r="K221" s="2">
        <v>68.97</v>
      </c>
      <c r="L221" t="s">
        <v>22</v>
      </c>
      <c r="M221" t="s">
        <v>18</v>
      </c>
      <c r="N221">
        <v>8.6999999999999993</v>
      </c>
    </row>
    <row r="222" spans="1:14">
      <c r="A222">
        <v>221</v>
      </c>
      <c r="B222" s="1">
        <v>45137</v>
      </c>
      <c r="C222">
        <v>183</v>
      </c>
      <c r="D222" t="s">
        <v>19</v>
      </c>
      <c r="E222">
        <v>32</v>
      </c>
      <c r="F222" t="str" cm="1">
        <f t="array" ref="F222">_xlfn.IFS(E222&lt;18, "0-17",
     E222&lt;25, "18-24",
     E222&lt;35, "25-34",
     E222&lt;45, "35-44",
     E222&lt;55, "45-54",
     E222&lt;65, "55-64",
     TRUE, "65+")</f>
        <v>25-34</v>
      </c>
      <c r="G222" t="s">
        <v>28</v>
      </c>
      <c r="H222" t="s">
        <v>43</v>
      </c>
      <c r="I222" s="2">
        <v>14.99</v>
      </c>
      <c r="J222">
        <v>2</v>
      </c>
      <c r="K222" s="2">
        <v>29.98</v>
      </c>
      <c r="L222" t="s">
        <v>17</v>
      </c>
      <c r="M222" t="s">
        <v>26</v>
      </c>
      <c r="N222">
        <v>3</v>
      </c>
    </row>
    <row r="223" spans="1:14">
      <c r="A223">
        <v>222</v>
      </c>
      <c r="B223" s="1">
        <v>45140</v>
      </c>
      <c r="C223">
        <v>173</v>
      </c>
      <c r="D223" t="s">
        <v>14</v>
      </c>
      <c r="E223">
        <v>45</v>
      </c>
      <c r="F223" t="str" cm="1">
        <f t="array" ref="F223">_xlfn.IFS(E223&lt;18, "0-17",
     E223&lt;25, "18-24",
     E223&lt;35, "25-34",
     E223&lt;45, "35-44",
     E223&lt;55, "45-54",
     E223&lt;65, "55-64",
     TRUE, "65+")</f>
        <v>45-54</v>
      </c>
      <c r="G223" t="s">
        <v>20</v>
      </c>
      <c r="H223" t="s">
        <v>21</v>
      </c>
      <c r="I223" s="2">
        <v>49.99</v>
      </c>
      <c r="J223">
        <v>1</v>
      </c>
      <c r="K223" s="2">
        <v>49.99</v>
      </c>
      <c r="L223" t="s">
        <v>17</v>
      </c>
      <c r="M223" t="s">
        <v>18</v>
      </c>
      <c r="N223">
        <v>6.9</v>
      </c>
    </row>
    <row r="224" spans="1:14">
      <c r="A224">
        <v>223</v>
      </c>
      <c r="B224" s="1">
        <v>45143</v>
      </c>
      <c r="C224">
        <v>120</v>
      </c>
      <c r="D224" t="s">
        <v>19</v>
      </c>
      <c r="E224">
        <v>38</v>
      </c>
      <c r="F224" t="str" cm="1">
        <f t="array" ref="F224">_xlfn.IFS(E224&lt;18, "0-17",
     E224&lt;25, "18-24",
     E224&lt;35, "25-34",
     E224&lt;45, "35-44",
     E224&lt;55, "45-54",
     E224&lt;65, "55-64",
     TRUE, "65+")</f>
        <v>35-44</v>
      </c>
      <c r="G224" t="s">
        <v>15</v>
      </c>
      <c r="H224" t="s">
        <v>38</v>
      </c>
      <c r="I224" s="2">
        <v>99.99</v>
      </c>
      <c r="J224">
        <v>1</v>
      </c>
      <c r="K224" s="2">
        <v>99.99</v>
      </c>
      <c r="L224" t="s">
        <v>17</v>
      </c>
      <c r="M224" t="s">
        <v>18</v>
      </c>
      <c r="N224">
        <v>2.1</v>
      </c>
    </row>
    <row r="225" spans="1:14">
      <c r="A225">
        <v>224</v>
      </c>
      <c r="B225" s="1">
        <v>45146</v>
      </c>
      <c r="C225">
        <v>166</v>
      </c>
      <c r="D225" t="s">
        <v>14</v>
      </c>
      <c r="E225">
        <v>55</v>
      </c>
      <c r="F225" t="str" cm="1">
        <f t="array" ref="F225">_xlfn.IFS(E225&lt;18, "0-17",
     E225&lt;25, "18-24",
     E225&lt;35, "25-34",
     E225&lt;45, "35-44",
     E225&lt;55, "45-54",
     E225&lt;65, "55-64",
     TRUE, "65+")</f>
        <v>55-64</v>
      </c>
      <c r="G225" t="s">
        <v>23</v>
      </c>
      <c r="H225" t="s">
        <v>24</v>
      </c>
      <c r="I225" s="2">
        <v>34.99</v>
      </c>
      <c r="J225">
        <v>2</v>
      </c>
      <c r="K225" s="2">
        <v>69.98</v>
      </c>
      <c r="L225" t="s">
        <v>17</v>
      </c>
      <c r="M225" t="s">
        <v>18</v>
      </c>
      <c r="N225">
        <v>4.9000000000000004</v>
      </c>
    </row>
    <row r="226" spans="1:14">
      <c r="A226">
        <v>225</v>
      </c>
      <c r="B226" s="1">
        <v>45148</v>
      </c>
      <c r="C226">
        <v>190</v>
      </c>
      <c r="D226" t="s">
        <v>19</v>
      </c>
      <c r="E226">
        <v>67</v>
      </c>
      <c r="F226" t="str" cm="1">
        <f t="array" ref="F226">_xlfn.IFS(E226&lt;18, "0-17",
     E226&lt;25, "18-24",
     E226&lt;35, "25-34",
     E226&lt;45, "35-44",
     E226&lt;55, "45-54",
     E226&lt;65, "55-64",
     TRUE, "65+")</f>
        <v>65+</v>
      </c>
      <c r="G226" t="s">
        <v>28</v>
      </c>
      <c r="H226" t="s">
        <v>50</v>
      </c>
      <c r="I226" s="2">
        <v>51.99</v>
      </c>
      <c r="J226">
        <v>1</v>
      </c>
      <c r="K226" s="2">
        <v>51.99</v>
      </c>
      <c r="L226" t="s">
        <v>25</v>
      </c>
      <c r="M226" t="s">
        <v>18</v>
      </c>
      <c r="N226">
        <v>8.4</v>
      </c>
    </row>
    <row r="227" spans="1:14">
      <c r="A227">
        <v>226</v>
      </c>
      <c r="B227" s="1">
        <v>45150</v>
      </c>
      <c r="C227">
        <v>154</v>
      </c>
      <c r="D227" t="s">
        <v>14</v>
      </c>
      <c r="E227">
        <v>41</v>
      </c>
      <c r="F227" t="str" cm="1">
        <f t="array" ref="F227">_xlfn.IFS(E227&lt;18, "0-17",
     E227&lt;25, "18-24",
     E227&lt;35, "25-34",
     E227&lt;45, "35-44",
     E227&lt;55, "45-54",
     E227&lt;65, "55-64",
     TRUE, "65+")</f>
        <v>35-44</v>
      </c>
      <c r="G227" t="s">
        <v>20</v>
      </c>
      <c r="H227" t="s">
        <v>32</v>
      </c>
      <c r="I227" s="2">
        <v>69.989999999999995</v>
      </c>
      <c r="J227">
        <v>2</v>
      </c>
      <c r="K227" s="2">
        <v>139.97999999999999</v>
      </c>
      <c r="L227" t="s">
        <v>17</v>
      </c>
      <c r="M227" t="s">
        <v>26</v>
      </c>
      <c r="N227">
        <v>2.5</v>
      </c>
    </row>
    <row r="228" spans="1:14">
      <c r="A228">
        <v>227</v>
      </c>
      <c r="B228" s="1">
        <v>45153</v>
      </c>
      <c r="C228">
        <v>193</v>
      </c>
      <c r="D228" t="s">
        <v>19</v>
      </c>
      <c r="E228">
        <v>50</v>
      </c>
      <c r="F228" t="str" cm="1">
        <f t="array" ref="F228">_xlfn.IFS(E228&lt;18, "0-17",
     E228&lt;25, "18-24",
     E228&lt;35, "25-34",
     E228&lt;45, "35-44",
     E228&lt;55, "45-54",
     E228&lt;65, "55-64",
     TRUE, "65+")</f>
        <v>45-54</v>
      </c>
      <c r="G228" t="s">
        <v>15</v>
      </c>
      <c r="H228" t="s">
        <v>30</v>
      </c>
      <c r="I228" s="2">
        <v>12.99</v>
      </c>
      <c r="J228">
        <v>4</v>
      </c>
      <c r="K228" s="2">
        <v>51.96</v>
      </c>
      <c r="L228" t="s">
        <v>17</v>
      </c>
      <c r="M228" t="s">
        <v>18</v>
      </c>
      <c r="N228">
        <v>2.2999999999999998</v>
      </c>
    </row>
    <row r="229" spans="1:14">
      <c r="A229">
        <v>228</v>
      </c>
      <c r="B229" s="1">
        <v>45156</v>
      </c>
      <c r="C229">
        <v>185</v>
      </c>
      <c r="D229" t="s">
        <v>14</v>
      </c>
      <c r="E229">
        <v>33</v>
      </c>
      <c r="F229" t="str" cm="1">
        <f t="array" ref="F229">_xlfn.IFS(E229&lt;18, "0-17",
     E229&lt;25, "18-24",
     E229&lt;35, "25-34",
     E229&lt;45, "35-44",
     E229&lt;55, "45-54",
     E229&lt;65, "55-64",
     TRUE, "65+")</f>
        <v>25-34</v>
      </c>
      <c r="G229" t="s">
        <v>23</v>
      </c>
      <c r="H229" t="s">
        <v>41</v>
      </c>
      <c r="I229" s="2">
        <v>149.99</v>
      </c>
      <c r="J229">
        <v>1</v>
      </c>
      <c r="K229" s="2">
        <v>149.99</v>
      </c>
      <c r="L229" t="s">
        <v>17</v>
      </c>
      <c r="M229" t="s">
        <v>18</v>
      </c>
      <c r="N229">
        <v>4.5</v>
      </c>
    </row>
    <row r="230" spans="1:14">
      <c r="A230">
        <v>229</v>
      </c>
      <c r="B230" s="1">
        <v>45158</v>
      </c>
      <c r="C230">
        <v>190</v>
      </c>
      <c r="D230" t="s">
        <v>19</v>
      </c>
      <c r="E230">
        <v>62</v>
      </c>
      <c r="F230" t="str" cm="1">
        <f t="array" ref="F230">_xlfn.IFS(E230&lt;18, "0-17",
     E230&lt;25, "18-24",
     E230&lt;35, "25-34",
     E230&lt;45, "35-44",
     E230&lt;55, "45-54",
     E230&lt;65, "55-64",
     TRUE, "65+")</f>
        <v>55-64</v>
      </c>
      <c r="G230" t="s">
        <v>28</v>
      </c>
      <c r="H230" t="s">
        <v>29</v>
      </c>
      <c r="I230" s="2">
        <v>44.99</v>
      </c>
      <c r="J230">
        <v>2</v>
      </c>
      <c r="K230" s="2">
        <v>89.98</v>
      </c>
      <c r="L230" t="s">
        <v>17</v>
      </c>
      <c r="M230" t="s">
        <v>18</v>
      </c>
      <c r="N230">
        <v>8.4</v>
      </c>
    </row>
    <row r="231" spans="1:14">
      <c r="A231">
        <v>230</v>
      </c>
      <c r="B231" s="1">
        <v>45160</v>
      </c>
      <c r="C231">
        <v>166</v>
      </c>
      <c r="D231" t="s">
        <v>14</v>
      </c>
      <c r="E231">
        <v>39</v>
      </c>
      <c r="F231" t="str" cm="1">
        <f t="array" ref="F231">_xlfn.IFS(E231&lt;18, "0-17",
     E231&lt;25, "18-24",
     E231&lt;35, "25-34",
     E231&lt;45, "35-44",
     E231&lt;55, "45-54",
     E231&lt;65, "55-64",
     TRUE, "65+")</f>
        <v>35-44</v>
      </c>
      <c r="G231" t="s">
        <v>20</v>
      </c>
      <c r="H231" t="s">
        <v>36</v>
      </c>
      <c r="I231" s="2">
        <v>89.99</v>
      </c>
      <c r="J231">
        <v>1</v>
      </c>
      <c r="K231" s="2">
        <v>89.99</v>
      </c>
      <c r="L231" t="s">
        <v>22</v>
      </c>
      <c r="M231" t="s">
        <v>18</v>
      </c>
      <c r="N231">
        <v>4.9000000000000004</v>
      </c>
    </row>
    <row r="232" spans="1:14">
      <c r="A232">
        <v>231</v>
      </c>
      <c r="B232" s="1">
        <v>45163</v>
      </c>
      <c r="C232">
        <v>107</v>
      </c>
      <c r="D232" t="s">
        <v>19</v>
      </c>
      <c r="E232">
        <v>26</v>
      </c>
      <c r="F232" t="str" cm="1">
        <f t="array" ref="F232">_xlfn.IFS(E232&lt;18, "0-17",
     E232&lt;25, "18-24",
     E232&lt;35, "25-34",
     E232&lt;45, "35-44",
     E232&lt;55, "45-54",
     E232&lt;65, "55-64",
     TRUE, "65+")</f>
        <v>25-34</v>
      </c>
      <c r="G232" t="s">
        <v>15</v>
      </c>
      <c r="H232" t="s">
        <v>16</v>
      </c>
      <c r="I232" s="2">
        <v>59.99</v>
      </c>
      <c r="J232">
        <v>2</v>
      </c>
      <c r="K232" s="2">
        <v>119.98</v>
      </c>
      <c r="L232" t="s">
        <v>17</v>
      </c>
      <c r="M232" t="s">
        <v>18</v>
      </c>
      <c r="N232">
        <v>6</v>
      </c>
    </row>
    <row r="233" spans="1:14">
      <c r="A233">
        <v>232</v>
      </c>
      <c r="B233" s="1">
        <v>45166</v>
      </c>
      <c r="C233">
        <v>199</v>
      </c>
      <c r="D233" t="s">
        <v>14</v>
      </c>
      <c r="E233">
        <v>46</v>
      </c>
      <c r="F233" t="str" cm="1">
        <f t="array" ref="F233">_xlfn.IFS(E233&lt;18, "0-17",
     E233&lt;25, "18-24",
     E233&lt;35, "25-34",
     E233&lt;45, "35-44",
     E233&lt;55, "45-54",
     E233&lt;65, "55-64",
     TRUE, "65+")</f>
        <v>45-54</v>
      </c>
      <c r="G233" t="s">
        <v>23</v>
      </c>
      <c r="H233" t="s">
        <v>33</v>
      </c>
      <c r="I233" s="2">
        <v>44.99</v>
      </c>
      <c r="J233">
        <v>3</v>
      </c>
      <c r="K233" s="2">
        <v>134.97</v>
      </c>
      <c r="L233" t="s">
        <v>17</v>
      </c>
      <c r="M233" t="s">
        <v>26</v>
      </c>
      <c r="N233">
        <v>1.9</v>
      </c>
    </row>
    <row r="234" spans="1:14">
      <c r="A234">
        <v>233</v>
      </c>
      <c r="B234" s="1">
        <v>45168</v>
      </c>
      <c r="C234">
        <v>126</v>
      </c>
      <c r="D234" t="s">
        <v>19</v>
      </c>
      <c r="E234">
        <v>30</v>
      </c>
      <c r="F234" t="str" cm="1">
        <f t="array" ref="F234">_xlfn.IFS(E234&lt;18, "0-17",
     E234&lt;25, "18-24",
     E234&lt;35, "25-34",
     E234&lt;45, "35-44",
     E234&lt;55, "45-54",
     E234&lt;65, "55-64",
     TRUE, "65+")</f>
        <v>25-34</v>
      </c>
      <c r="G234" t="s">
        <v>28</v>
      </c>
      <c r="H234" t="s">
        <v>39</v>
      </c>
      <c r="I234" s="2">
        <v>7.99</v>
      </c>
      <c r="J234">
        <v>3</v>
      </c>
      <c r="K234" s="2">
        <v>23.97</v>
      </c>
      <c r="L234" t="s">
        <v>31</v>
      </c>
      <c r="M234" t="s">
        <v>18</v>
      </c>
      <c r="N234">
        <v>3.1</v>
      </c>
    </row>
    <row r="235" spans="1:14">
      <c r="A235">
        <v>234</v>
      </c>
      <c r="B235" s="1">
        <v>45171</v>
      </c>
      <c r="C235">
        <v>191</v>
      </c>
      <c r="D235" t="s">
        <v>14</v>
      </c>
      <c r="E235">
        <v>57</v>
      </c>
      <c r="F235" t="str" cm="1">
        <f t="array" ref="F235">_xlfn.IFS(E235&lt;18, "0-17",
     E235&lt;25, "18-24",
     E235&lt;35, "25-34",
     E235&lt;45, "35-44",
     E235&lt;55, "45-54",
     E235&lt;65, "55-64",
     TRUE, "65+")</f>
        <v>55-64</v>
      </c>
      <c r="G235" t="s">
        <v>20</v>
      </c>
      <c r="H235" t="s">
        <v>44</v>
      </c>
      <c r="I235" s="2">
        <v>9.99</v>
      </c>
      <c r="J235">
        <v>4</v>
      </c>
      <c r="K235" s="2">
        <v>39.96</v>
      </c>
      <c r="L235" t="s">
        <v>17</v>
      </c>
      <c r="M235" t="s">
        <v>18</v>
      </c>
      <c r="N235">
        <v>9.4</v>
      </c>
    </row>
    <row r="236" spans="1:14">
      <c r="A236">
        <v>235</v>
      </c>
      <c r="B236" s="1">
        <v>45174</v>
      </c>
      <c r="C236">
        <v>185</v>
      </c>
      <c r="D236" t="s">
        <v>19</v>
      </c>
      <c r="E236">
        <v>40</v>
      </c>
      <c r="F236" t="str" cm="1">
        <f t="array" ref="F236">_xlfn.IFS(E236&lt;18, "0-17",
     E236&lt;25, "18-24",
     E236&lt;35, "25-34",
     E236&lt;45, "35-44",
     E236&lt;55, "45-54",
     E236&lt;65, "55-64",
     TRUE, "65+")</f>
        <v>35-44</v>
      </c>
      <c r="G236" t="s">
        <v>15</v>
      </c>
      <c r="H236" t="s">
        <v>34</v>
      </c>
      <c r="I236" s="2">
        <v>18.989999999999998</v>
      </c>
      <c r="J236">
        <v>2</v>
      </c>
      <c r="K236" s="2">
        <v>37.979999999999997</v>
      </c>
      <c r="L236" t="s">
        <v>17</v>
      </c>
      <c r="M236" t="s">
        <v>18</v>
      </c>
      <c r="N236">
        <v>4.5</v>
      </c>
    </row>
    <row r="237" spans="1:14">
      <c r="A237">
        <v>236</v>
      </c>
      <c r="B237" s="1">
        <v>45177</v>
      </c>
      <c r="C237">
        <v>146</v>
      </c>
      <c r="D237" t="s">
        <v>14</v>
      </c>
      <c r="E237">
        <v>47</v>
      </c>
      <c r="F237" t="str" cm="1">
        <f t="array" ref="F237">_xlfn.IFS(E237&lt;18, "0-17",
     E237&lt;25, "18-24",
     E237&lt;35, "25-34",
     E237&lt;45, "35-44",
     E237&lt;55, "45-54",
     E237&lt;65, "55-64",
     TRUE, "65+")</f>
        <v>45-54</v>
      </c>
      <c r="G237" t="s">
        <v>23</v>
      </c>
      <c r="H237" t="s">
        <v>37</v>
      </c>
      <c r="I237" s="2">
        <v>24.99</v>
      </c>
      <c r="J237">
        <v>3</v>
      </c>
      <c r="K237" s="2">
        <v>74.97</v>
      </c>
      <c r="L237" t="s">
        <v>17</v>
      </c>
      <c r="M237" t="s">
        <v>18</v>
      </c>
      <c r="N237">
        <v>5.5</v>
      </c>
    </row>
    <row r="238" spans="1:14">
      <c r="A238">
        <v>237</v>
      </c>
      <c r="B238" s="1">
        <v>45179</v>
      </c>
      <c r="C238">
        <v>150</v>
      </c>
      <c r="D238" t="s">
        <v>19</v>
      </c>
      <c r="E238">
        <v>36</v>
      </c>
      <c r="F238" t="str" cm="1">
        <f t="array" ref="F238">_xlfn.IFS(E238&lt;18, "0-17",
     E238&lt;25, "18-24",
     E238&lt;35, "25-34",
     E238&lt;45, "35-44",
     E238&lt;55, "45-54",
     E238&lt;65, "55-64",
     TRUE, "65+")</f>
        <v>35-44</v>
      </c>
      <c r="G238" t="s">
        <v>28</v>
      </c>
      <c r="H238" t="s">
        <v>35</v>
      </c>
      <c r="I238" s="2">
        <v>17.989999999999998</v>
      </c>
      <c r="J238">
        <v>2</v>
      </c>
      <c r="K238" s="2">
        <v>35.979999999999997</v>
      </c>
      <c r="L238" t="s">
        <v>17</v>
      </c>
      <c r="M238" t="s">
        <v>26</v>
      </c>
      <c r="N238">
        <v>7.6</v>
      </c>
    </row>
    <row r="239" spans="1:14">
      <c r="A239">
        <v>238</v>
      </c>
      <c r="B239" s="1">
        <v>45181</v>
      </c>
      <c r="C239">
        <v>146</v>
      </c>
      <c r="D239" t="s">
        <v>14</v>
      </c>
      <c r="E239">
        <v>51</v>
      </c>
      <c r="F239" t="str" cm="1">
        <f t="array" ref="F239">_xlfn.IFS(E239&lt;18, "0-17",
     E239&lt;25, "18-24",
     E239&lt;35, "25-34",
     E239&lt;45, "35-44",
     E239&lt;55, "45-54",
     E239&lt;65, "55-64",
     TRUE, "65+")</f>
        <v>45-54</v>
      </c>
      <c r="G239" t="s">
        <v>20</v>
      </c>
      <c r="H239" t="s">
        <v>40</v>
      </c>
      <c r="I239" s="2">
        <v>95.99</v>
      </c>
      <c r="J239">
        <v>1</v>
      </c>
      <c r="K239" s="2">
        <v>95.99</v>
      </c>
      <c r="L239" t="s">
        <v>22</v>
      </c>
      <c r="M239" t="s">
        <v>18</v>
      </c>
      <c r="N239">
        <v>5.5</v>
      </c>
    </row>
    <row r="240" spans="1:14">
      <c r="A240">
        <v>239</v>
      </c>
      <c r="B240" s="1">
        <v>45184</v>
      </c>
      <c r="C240">
        <v>172</v>
      </c>
      <c r="D240" t="s">
        <v>19</v>
      </c>
      <c r="E240">
        <v>28</v>
      </c>
      <c r="F240" t="str" cm="1">
        <f t="array" ref="F240">_xlfn.IFS(E240&lt;18, "0-17",
     E240&lt;25, "18-24",
     E240&lt;35, "25-34",
     E240&lt;45, "35-44",
     E240&lt;55, "45-54",
     E240&lt;65, "55-64",
     TRUE, "65+")</f>
        <v>25-34</v>
      </c>
      <c r="G240" t="s">
        <v>15</v>
      </c>
      <c r="H240" t="s">
        <v>48</v>
      </c>
      <c r="I240" s="2">
        <v>27.99</v>
      </c>
      <c r="J240">
        <v>2</v>
      </c>
      <c r="K240" s="2">
        <v>55.98</v>
      </c>
      <c r="L240" t="s">
        <v>17</v>
      </c>
      <c r="M240" t="s">
        <v>18</v>
      </c>
      <c r="N240">
        <v>6.2</v>
      </c>
    </row>
    <row r="241" spans="1:14">
      <c r="A241">
        <v>240</v>
      </c>
      <c r="B241" s="1">
        <v>45187</v>
      </c>
      <c r="C241">
        <v>177</v>
      </c>
      <c r="D241" t="s">
        <v>14</v>
      </c>
      <c r="E241">
        <v>59</v>
      </c>
      <c r="F241" t="str" cm="1">
        <f t="array" ref="F241">_xlfn.IFS(E241&lt;18, "0-17",
     E241&lt;25, "18-24",
     E241&lt;35, "25-34",
     E241&lt;45, "35-44",
     E241&lt;55, "45-54",
     E241&lt;65, "55-64",
     TRUE, "65+")</f>
        <v>55-64</v>
      </c>
      <c r="G241" t="s">
        <v>23</v>
      </c>
      <c r="H241" t="s">
        <v>49</v>
      </c>
      <c r="I241" s="2">
        <v>29.99</v>
      </c>
      <c r="J241">
        <v>2</v>
      </c>
      <c r="K241" s="2">
        <v>59.98</v>
      </c>
      <c r="L241" t="s">
        <v>17</v>
      </c>
      <c r="M241" t="s">
        <v>18</v>
      </c>
      <c r="N241">
        <v>5.5</v>
      </c>
    </row>
    <row r="242" spans="1:14">
      <c r="A242">
        <v>241</v>
      </c>
      <c r="B242" s="1">
        <v>45189</v>
      </c>
      <c r="C242">
        <v>162</v>
      </c>
      <c r="D242" t="s">
        <v>19</v>
      </c>
      <c r="E242">
        <v>43</v>
      </c>
      <c r="F242" t="str" cm="1">
        <f t="array" ref="F242">_xlfn.IFS(E242&lt;18, "0-17",
     E242&lt;25, "18-24",
     E242&lt;35, "25-34",
     E242&lt;45, "35-44",
     E242&lt;55, "45-54",
     E242&lt;65, "55-64",
     TRUE, "65+")</f>
        <v>35-44</v>
      </c>
      <c r="G242" t="s">
        <v>28</v>
      </c>
      <c r="H242" t="s">
        <v>43</v>
      </c>
      <c r="I242" s="2">
        <v>15.99</v>
      </c>
      <c r="J242">
        <v>3</v>
      </c>
      <c r="K242" s="2">
        <v>47.97</v>
      </c>
      <c r="L242" t="s">
        <v>17</v>
      </c>
      <c r="M242" t="s">
        <v>18</v>
      </c>
      <c r="N242">
        <v>4.9000000000000004</v>
      </c>
    </row>
    <row r="243" spans="1:14">
      <c r="A243">
        <v>242</v>
      </c>
      <c r="B243" s="1">
        <v>45191</v>
      </c>
      <c r="C243">
        <v>197</v>
      </c>
      <c r="D243" t="s">
        <v>14</v>
      </c>
      <c r="E243">
        <v>35</v>
      </c>
      <c r="F243" t="str" cm="1">
        <f t="array" ref="F243">_xlfn.IFS(E243&lt;18, "0-17",
     E243&lt;25, "18-24",
     E243&lt;35, "25-34",
     E243&lt;45, "35-44",
     E243&lt;55, "45-54",
     E243&lt;65, "55-64",
     TRUE, "65+")</f>
        <v>35-44</v>
      </c>
      <c r="G243" t="s">
        <v>20</v>
      </c>
      <c r="H243" t="s">
        <v>21</v>
      </c>
      <c r="I243" s="2">
        <v>39.99</v>
      </c>
      <c r="J243">
        <v>3</v>
      </c>
      <c r="K243" s="2">
        <v>119.97</v>
      </c>
      <c r="L243" t="s">
        <v>17</v>
      </c>
      <c r="M243" t="s">
        <v>26</v>
      </c>
      <c r="N243">
        <v>8.6</v>
      </c>
    </row>
    <row r="244" spans="1:14">
      <c r="A244">
        <v>243</v>
      </c>
      <c r="B244" s="1">
        <v>45194</v>
      </c>
      <c r="C244">
        <v>143</v>
      </c>
      <c r="D244" t="s">
        <v>19</v>
      </c>
      <c r="E244">
        <v>29</v>
      </c>
      <c r="F244" t="str" cm="1">
        <f t="array" ref="F244">_xlfn.IFS(E244&lt;18, "0-17",
     E244&lt;25, "18-24",
     E244&lt;35, "25-34",
     E244&lt;45, "35-44",
     E244&lt;55, "45-54",
     E244&lt;65, "55-64",
     TRUE, "65+")</f>
        <v>25-34</v>
      </c>
      <c r="G244" t="s">
        <v>15</v>
      </c>
      <c r="H244" t="s">
        <v>46</v>
      </c>
      <c r="I244" s="2">
        <v>89.99</v>
      </c>
      <c r="J244">
        <v>1</v>
      </c>
      <c r="K244" s="2">
        <v>89.99</v>
      </c>
      <c r="L244" t="s">
        <v>25</v>
      </c>
      <c r="M244" t="s">
        <v>18</v>
      </c>
      <c r="N244">
        <v>0.6</v>
      </c>
    </row>
    <row r="245" spans="1:14">
      <c r="A245">
        <v>244</v>
      </c>
      <c r="B245" s="1">
        <v>45197</v>
      </c>
      <c r="C245">
        <v>108</v>
      </c>
      <c r="D245" t="s">
        <v>14</v>
      </c>
      <c r="E245">
        <v>46</v>
      </c>
      <c r="F245" t="str" cm="1">
        <f t="array" ref="F245">_xlfn.IFS(E245&lt;18, "0-17",
     E245&lt;25, "18-24",
     E245&lt;35, "25-34",
     E245&lt;45, "35-44",
     E245&lt;55, "45-54",
     E245&lt;65, "55-64",
     TRUE, "65+")</f>
        <v>45-54</v>
      </c>
      <c r="G245" t="s">
        <v>23</v>
      </c>
      <c r="H245" t="s">
        <v>45</v>
      </c>
      <c r="I245" s="2">
        <v>59.99</v>
      </c>
      <c r="J245">
        <v>2</v>
      </c>
      <c r="K245" s="2">
        <v>119.98</v>
      </c>
      <c r="L245" t="s">
        <v>17</v>
      </c>
      <c r="M245" t="s">
        <v>18</v>
      </c>
      <c r="N245">
        <v>1.5</v>
      </c>
    </row>
    <row r="246" spans="1:14">
      <c r="A246">
        <v>245</v>
      </c>
      <c r="B246" s="1">
        <v>45199</v>
      </c>
      <c r="C246">
        <v>117</v>
      </c>
      <c r="D246" t="s">
        <v>19</v>
      </c>
      <c r="E246">
        <v>38</v>
      </c>
      <c r="F246" t="str" cm="1">
        <f t="array" ref="F246">_xlfn.IFS(E246&lt;18, "0-17",
     E246&lt;25, "18-24",
     E246&lt;35, "25-34",
     E246&lt;45, "35-44",
     E246&lt;55, "45-54",
     E246&lt;65, "55-64",
     TRUE, "65+")</f>
        <v>35-44</v>
      </c>
      <c r="G246" t="s">
        <v>28</v>
      </c>
      <c r="H246" t="s">
        <v>50</v>
      </c>
      <c r="I246" s="2">
        <v>49.99</v>
      </c>
      <c r="J246">
        <v>2</v>
      </c>
      <c r="K246" s="2">
        <v>99.98</v>
      </c>
      <c r="L246" t="s">
        <v>17</v>
      </c>
      <c r="M246" t="s">
        <v>18</v>
      </c>
      <c r="N246">
        <v>6.5</v>
      </c>
    </row>
    <row r="247" spans="1:14">
      <c r="A247">
        <v>246</v>
      </c>
      <c r="B247" s="1">
        <v>45202</v>
      </c>
      <c r="C247">
        <v>127</v>
      </c>
      <c r="D247" t="s">
        <v>14</v>
      </c>
      <c r="E247">
        <v>32</v>
      </c>
      <c r="F247" t="str" cm="1">
        <f t="array" ref="F247">_xlfn.IFS(E247&lt;18, "0-17",
     E247&lt;25, "18-24",
     E247&lt;35, "25-34",
     E247&lt;45, "35-44",
     E247&lt;55, "45-54",
     E247&lt;65, "55-64",
     TRUE, "65+")</f>
        <v>25-34</v>
      </c>
      <c r="G247" t="s">
        <v>20</v>
      </c>
      <c r="H247" t="s">
        <v>32</v>
      </c>
      <c r="I247" s="2">
        <v>64.989999999999995</v>
      </c>
      <c r="J247">
        <v>1</v>
      </c>
      <c r="K247" s="2">
        <v>64.989999999999995</v>
      </c>
      <c r="L247" t="s">
        <v>17</v>
      </c>
      <c r="M247" t="s">
        <v>18</v>
      </c>
      <c r="N247">
        <v>6.5</v>
      </c>
    </row>
    <row r="248" spans="1:14">
      <c r="A248">
        <v>247</v>
      </c>
      <c r="B248" s="1">
        <v>45204</v>
      </c>
      <c r="C248">
        <v>164</v>
      </c>
      <c r="D248" t="s">
        <v>19</v>
      </c>
      <c r="E248">
        <v>52</v>
      </c>
      <c r="F248" t="str" cm="1">
        <f t="array" ref="F248">_xlfn.IFS(E248&lt;18, "0-17",
     E248&lt;25, "18-24",
     E248&lt;35, "25-34",
     E248&lt;45, "35-44",
     E248&lt;55, "45-54",
     E248&lt;65, "55-64",
     TRUE, "65+")</f>
        <v>45-54</v>
      </c>
      <c r="G248" t="s">
        <v>15</v>
      </c>
      <c r="H248" t="s">
        <v>42</v>
      </c>
      <c r="I248" s="2">
        <v>219.99</v>
      </c>
      <c r="J248">
        <v>1</v>
      </c>
      <c r="K248" s="2">
        <v>219.99</v>
      </c>
      <c r="L248" t="s">
        <v>22</v>
      </c>
      <c r="M248" t="s">
        <v>18</v>
      </c>
      <c r="N248">
        <v>5.6</v>
      </c>
    </row>
    <row r="249" spans="1:14">
      <c r="A249">
        <v>248</v>
      </c>
      <c r="B249" s="1">
        <v>45207</v>
      </c>
      <c r="C249">
        <v>164</v>
      </c>
      <c r="D249" t="s">
        <v>14</v>
      </c>
      <c r="E249">
        <v>41</v>
      </c>
      <c r="F249" t="str" cm="1">
        <f t="array" ref="F249">_xlfn.IFS(E249&lt;18, "0-17",
     E249&lt;25, "18-24",
     E249&lt;35, "25-34",
     E249&lt;45, "35-44",
     E249&lt;55, "45-54",
     E249&lt;65, "55-64",
     TRUE, "65+")</f>
        <v>35-44</v>
      </c>
      <c r="G249" t="s">
        <v>23</v>
      </c>
      <c r="H249" t="s">
        <v>24</v>
      </c>
      <c r="I249" s="2">
        <v>31.99</v>
      </c>
      <c r="J249">
        <v>3</v>
      </c>
      <c r="K249" s="2">
        <v>95.97</v>
      </c>
      <c r="L249" t="s">
        <v>17</v>
      </c>
      <c r="M249" t="s">
        <v>26</v>
      </c>
      <c r="N249">
        <v>5.6</v>
      </c>
    </row>
    <row r="250" spans="1:14">
      <c r="A250">
        <v>249</v>
      </c>
      <c r="B250" s="1">
        <v>45209</v>
      </c>
      <c r="C250">
        <v>167</v>
      </c>
      <c r="D250" t="s">
        <v>19</v>
      </c>
      <c r="E250">
        <v>56</v>
      </c>
      <c r="F250" t="str" cm="1">
        <f t="array" ref="F250">_xlfn.IFS(E250&lt;18, "0-17",
     E250&lt;25, "18-24",
     E250&lt;35, "25-34",
     E250&lt;45, "35-44",
     E250&lt;55, "45-54",
     E250&lt;65, "55-64",
     TRUE, "65+")</f>
        <v>55-64</v>
      </c>
      <c r="G250" t="s">
        <v>28</v>
      </c>
      <c r="H250" t="s">
        <v>29</v>
      </c>
      <c r="I250" s="2">
        <v>38.99</v>
      </c>
      <c r="J250">
        <v>2</v>
      </c>
      <c r="K250" s="2">
        <v>77.98</v>
      </c>
      <c r="L250" t="s">
        <v>17</v>
      </c>
      <c r="M250" t="s">
        <v>18</v>
      </c>
      <c r="N250">
        <v>7.9</v>
      </c>
    </row>
    <row r="251" spans="1:14">
      <c r="A251">
        <v>250</v>
      </c>
      <c r="B251" s="1">
        <v>45211</v>
      </c>
      <c r="C251">
        <v>114</v>
      </c>
      <c r="D251" t="s">
        <v>14</v>
      </c>
      <c r="E251">
        <v>35</v>
      </c>
      <c r="F251" t="str" cm="1">
        <f t="array" ref="F251">_xlfn.IFS(E251&lt;18, "0-17",
     E251&lt;25, "18-24",
     E251&lt;35, "25-34",
     E251&lt;45, "35-44",
     E251&lt;55, "45-54",
     E251&lt;65, "55-64",
     TRUE, "65+")</f>
        <v>35-44</v>
      </c>
      <c r="G251" t="s">
        <v>20</v>
      </c>
      <c r="H251" t="s">
        <v>44</v>
      </c>
      <c r="I251" s="2">
        <v>11.99</v>
      </c>
      <c r="J251">
        <v>5</v>
      </c>
      <c r="K251" s="2">
        <v>59.95</v>
      </c>
      <c r="L251" t="s">
        <v>17</v>
      </c>
      <c r="M251" t="s">
        <v>18</v>
      </c>
      <c r="N251">
        <v>1.9</v>
      </c>
    </row>
    <row r="252" spans="1:14">
      <c r="A252">
        <v>251</v>
      </c>
      <c r="B252" s="1">
        <v>45214</v>
      </c>
      <c r="C252">
        <v>102</v>
      </c>
      <c r="D252" t="s">
        <v>19</v>
      </c>
      <c r="E252">
        <v>49</v>
      </c>
      <c r="F252" t="str" cm="1">
        <f t="array" ref="F252">_xlfn.IFS(E252&lt;18, "0-17",
     E252&lt;25, "18-24",
     E252&lt;35, "25-34",
     E252&lt;45, "35-44",
     E252&lt;55, "45-54",
     E252&lt;65, "55-64",
     TRUE, "65+")</f>
        <v>45-54</v>
      </c>
      <c r="G252" t="s">
        <v>15</v>
      </c>
      <c r="H252" t="s">
        <v>38</v>
      </c>
      <c r="I252" s="2">
        <v>89.99</v>
      </c>
      <c r="J252">
        <v>2</v>
      </c>
      <c r="K252" s="2">
        <v>179.98</v>
      </c>
      <c r="L252" t="s">
        <v>17</v>
      </c>
      <c r="M252" t="s">
        <v>18</v>
      </c>
      <c r="N252">
        <v>6.3</v>
      </c>
    </row>
    <row r="253" spans="1:14">
      <c r="A253">
        <v>252</v>
      </c>
      <c r="B253" s="1">
        <v>45217</v>
      </c>
      <c r="C253">
        <v>126</v>
      </c>
      <c r="D253" t="s">
        <v>14</v>
      </c>
      <c r="E253">
        <v>30</v>
      </c>
      <c r="F253" t="str" cm="1">
        <f t="array" ref="F253">_xlfn.IFS(E253&lt;18, "0-17",
     E253&lt;25, "18-24",
     E253&lt;35, "25-34",
     E253&lt;45, "35-44",
     E253&lt;55, "45-54",
     E253&lt;65, "55-64",
     TRUE, "65+")</f>
        <v>25-34</v>
      </c>
      <c r="G253" t="s">
        <v>23</v>
      </c>
      <c r="H253" t="s">
        <v>37</v>
      </c>
      <c r="I253" s="2">
        <v>21.99</v>
      </c>
      <c r="J253">
        <v>4</v>
      </c>
      <c r="K253" s="2">
        <v>87.96</v>
      </c>
      <c r="L253" t="s">
        <v>17</v>
      </c>
      <c r="M253" t="s">
        <v>26</v>
      </c>
      <c r="N253">
        <v>3.1</v>
      </c>
    </row>
    <row r="254" spans="1:14">
      <c r="A254">
        <v>253</v>
      </c>
      <c r="B254" s="1">
        <v>45219</v>
      </c>
      <c r="C254">
        <v>112</v>
      </c>
      <c r="D254" t="s">
        <v>19</v>
      </c>
      <c r="E254">
        <v>60</v>
      </c>
      <c r="F254" t="str" cm="1">
        <f t="array" ref="F254">_xlfn.IFS(E254&lt;18, "0-17",
     E254&lt;25, "18-24",
     E254&lt;35, "25-34",
     E254&lt;45, "35-44",
     E254&lt;55, "45-54",
     E254&lt;65, "55-64",
     TRUE, "65+")</f>
        <v>55-64</v>
      </c>
      <c r="G254" t="s">
        <v>28</v>
      </c>
      <c r="H254" t="s">
        <v>39</v>
      </c>
      <c r="I254" s="2">
        <v>8.99</v>
      </c>
      <c r="J254">
        <v>3</v>
      </c>
      <c r="K254" s="2">
        <v>26.97</v>
      </c>
      <c r="L254" t="s">
        <v>31</v>
      </c>
      <c r="M254" t="s">
        <v>18</v>
      </c>
      <c r="N254">
        <v>8.6999999999999993</v>
      </c>
    </row>
    <row r="255" spans="1:14">
      <c r="A255">
        <v>254</v>
      </c>
      <c r="B255" s="1">
        <v>45221</v>
      </c>
      <c r="C255">
        <v>119</v>
      </c>
      <c r="D255" t="s">
        <v>14</v>
      </c>
      <c r="E255">
        <v>26</v>
      </c>
      <c r="F255" t="str" cm="1">
        <f t="array" ref="F255">_xlfn.IFS(E255&lt;18, "0-17",
     E255&lt;25, "18-24",
     E255&lt;35, "25-34",
     E255&lt;45, "35-44",
     E255&lt;55, "45-54",
     E255&lt;65, "55-64",
     TRUE, "65+")</f>
        <v>25-34</v>
      </c>
      <c r="G255" t="s">
        <v>20</v>
      </c>
      <c r="H255" t="s">
        <v>21</v>
      </c>
      <c r="I255" s="2">
        <v>44.99</v>
      </c>
      <c r="J255">
        <v>1</v>
      </c>
      <c r="K255" s="2">
        <v>44.99</v>
      </c>
      <c r="L255" t="s">
        <v>17</v>
      </c>
      <c r="M255" t="s">
        <v>18</v>
      </c>
      <c r="N255">
        <v>3.6</v>
      </c>
    </row>
    <row r="256" spans="1:14">
      <c r="A256">
        <v>255</v>
      </c>
      <c r="B256" s="1">
        <v>45224</v>
      </c>
      <c r="C256">
        <v>119</v>
      </c>
      <c r="D256" t="s">
        <v>19</v>
      </c>
      <c r="E256">
        <v>43</v>
      </c>
      <c r="F256" t="str" cm="1">
        <f t="array" ref="F256">_xlfn.IFS(E256&lt;18, "0-17",
     E256&lt;25, "18-24",
     E256&lt;35, "25-34",
     E256&lt;45, "35-44",
     E256&lt;55, "45-54",
     E256&lt;65, "55-64",
     TRUE, "65+")</f>
        <v>35-44</v>
      </c>
      <c r="G256" t="s">
        <v>15</v>
      </c>
      <c r="H256" t="s">
        <v>16</v>
      </c>
      <c r="I256" s="2">
        <v>54.99</v>
      </c>
      <c r="J256">
        <v>2</v>
      </c>
      <c r="K256" s="2">
        <v>109.98</v>
      </c>
      <c r="L256" t="s">
        <v>17</v>
      </c>
      <c r="M256" t="s">
        <v>18</v>
      </c>
      <c r="N256">
        <v>3.6</v>
      </c>
    </row>
    <row r="257" spans="1:14">
      <c r="A257">
        <v>256</v>
      </c>
      <c r="B257" s="1">
        <v>45227</v>
      </c>
      <c r="C257">
        <v>138</v>
      </c>
      <c r="D257" t="s">
        <v>14</v>
      </c>
      <c r="E257">
        <v>62</v>
      </c>
      <c r="F257" t="str" cm="1">
        <f t="array" ref="F257">_xlfn.IFS(E257&lt;18, "0-17",
     E257&lt;25, "18-24",
     E257&lt;35, "25-34",
     E257&lt;45, "35-44",
     E257&lt;55, "45-54",
     E257&lt;65, "55-64",
     TRUE, "65+")</f>
        <v>55-64</v>
      </c>
      <c r="G257" t="s">
        <v>23</v>
      </c>
      <c r="H257" t="s">
        <v>33</v>
      </c>
      <c r="I257" s="2">
        <v>39.99</v>
      </c>
      <c r="J257">
        <v>3</v>
      </c>
      <c r="K257" s="2">
        <v>119.97</v>
      </c>
      <c r="L257" t="s">
        <v>22</v>
      </c>
      <c r="M257" t="s">
        <v>18</v>
      </c>
      <c r="N257">
        <v>2.8</v>
      </c>
    </row>
    <row r="258" spans="1:14">
      <c r="A258">
        <v>257</v>
      </c>
      <c r="B258" s="1">
        <v>45229</v>
      </c>
      <c r="C258">
        <v>105</v>
      </c>
      <c r="D258" t="s">
        <v>19</v>
      </c>
      <c r="E258">
        <v>37</v>
      </c>
      <c r="F258" t="str" cm="1">
        <f t="array" ref="F258">_xlfn.IFS(E258&lt;18, "0-17",
     E258&lt;25, "18-24",
     E258&lt;35, "25-34",
     E258&lt;45, "35-44",
     E258&lt;55, "45-54",
     E258&lt;65, "55-64",
     TRUE, "65+")</f>
        <v>35-44</v>
      </c>
      <c r="G258" t="s">
        <v>28</v>
      </c>
      <c r="H258" t="s">
        <v>35</v>
      </c>
      <c r="I258" s="2">
        <v>16.989999999999998</v>
      </c>
      <c r="J258">
        <v>4</v>
      </c>
      <c r="K258" s="2">
        <v>67.959999999999994</v>
      </c>
      <c r="L258" t="s">
        <v>17</v>
      </c>
      <c r="M258" t="s">
        <v>26</v>
      </c>
      <c r="N258">
        <v>3.7</v>
      </c>
    </row>
    <row r="259" spans="1:14">
      <c r="A259">
        <v>258</v>
      </c>
      <c r="B259" s="1">
        <v>45232</v>
      </c>
      <c r="C259">
        <v>109</v>
      </c>
      <c r="D259" t="s">
        <v>14</v>
      </c>
      <c r="E259">
        <v>29</v>
      </c>
      <c r="F259" t="str" cm="1">
        <f t="array" ref="F259">_xlfn.IFS(E259&lt;18, "0-17",
     E259&lt;25, "18-24",
     E259&lt;35, "25-34",
     E259&lt;45, "35-44",
     E259&lt;55, "45-54",
     E259&lt;65, "55-64",
     TRUE, "65+")</f>
        <v>25-34</v>
      </c>
      <c r="G259" t="s">
        <v>20</v>
      </c>
      <c r="H259" t="s">
        <v>32</v>
      </c>
      <c r="I259" s="2">
        <v>59.99</v>
      </c>
      <c r="J259">
        <v>2</v>
      </c>
      <c r="K259" s="2">
        <v>119.98</v>
      </c>
      <c r="L259" t="s">
        <v>17</v>
      </c>
      <c r="M259" t="s">
        <v>18</v>
      </c>
      <c r="N259">
        <v>0.3</v>
      </c>
    </row>
    <row r="260" spans="1:14">
      <c r="A260">
        <v>259</v>
      </c>
      <c r="B260" s="1">
        <v>45235</v>
      </c>
      <c r="C260">
        <v>110</v>
      </c>
      <c r="D260" t="s">
        <v>19</v>
      </c>
      <c r="E260">
        <v>47</v>
      </c>
      <c r="F260" t="str" cm="1">
        <f t="array" ref="F260">_xlfn.IFS(E260&lt;18, "0-17",
     E260&lt;25, "18-24",
     E260&lt;35, "25-34",
     E260&lt;45, "35-44",
     E260&lt;55, "45-54",
     E260&lt;65, "55-64",
     TRUE, "65+")</f>
        <v>45-54</v>
      </c>
      <c r="G260" t="s">
        <v>15</v>
      </c>
      <c r="H260" t="s">
        <v>34</v>
      </c>
      <c r="I260" s="2">
        <v>19.989999999999998</v>
      </c>
      <c r="J260">
        <v>1</v>
      </c>
      <c r="K260" s="2">
        <v>19.989999999999998</v>
      </c>
      <c r="L260" t="s">
        <v>17</v>
      </c>
      <c r="M260" t="s">
        <v>18</v>
      </c>
      <c r="N260">
        <v>0.8</v>
      </c>
    </row>
    <row r="261" spans="1:14">
      <c r="A261">
        <v>260</v>
      </c>
      <c r="B261" s="1">
        <v>45238</v>
      </c>
      <c r="C261">
        <v>172</v>
      </c>
      <c r="D261" t="s">
        <v>14</v>
      </c>
      <c r="E261">
        <v>34</v>
      </c>
      <c r="F261" t="str" cm="1">
        <f t="array" ref="F261">_xlfn.IFS(E261&lt;18, "0-17",
     E261&lt;25, "18-24",
     E261&lt;35, "25-34",
     E261&lt;45, "35-44",
     E261&lt;55, "45-54",
     E261&lt;65, "55-64",
     TRUE, "65+")</f>
        <v>25-34</v>
      </c>
      <c r="G261" t="s">
        <v>23</v>
      </c>
      <c r="H261" t="s">
        <v>41</v>
      </c>
      <c r="I261" s="2">
        <v>139.99</v>
      </c>
      <c r="J261">
        <v>1</v>
      </c>
      <c r="K261" s="2">
        <v>139.99</v>
      </c>
      <c r="L261" t="s">
        <v>17</v>
      </c>
      <c r="M261" t="s">
        <v>18</v>
      </c>
      <c r="N261">
        <v>6.2</v>
      </c>
    </row>
    <row r="262" spans="1:14">
      <c r="A262">
        <v>261</v>
      </c>
      <c r="B262" s="1">
        <v>45240</v>
      </c>
      <c r="C262">
        <v>103</v>
      </c>
      <c r="D262" t="s">
        <v>19</v>
      </c>
      <c r="E262">
        <v>31</v>
      </c>
      <c r="F262" t="str" cm="1">
        <f t="array" ref="F262">_xlfn.IFS(E262&lt;18, "0-17",
     E262&lt;25, "18-24",
     E262&lt;35, "25-34",
     E262&lt;45, "35-44",
     E262&lt;55, "45-54",
     E262&lt;65, "55-64",
     TRUE, "65+")</f>
        <v>25-34</v>
      </c>
      <c r="G262" t="s">
        <v>28</v>
      </c>
      <c r="H262" t="s">
        <v>43</v>
      </c>
      <c r="I262" s="2">
        <v>13.99</v>
      </c>
      <c r="J262">
        <v>2</v>
      </c>
      <c r="K262" s="2">
        <v>27.98</v>
      </c>
      <c r="L262" t="s">
        <v>25</v>
      </c>
      <c r="M262" t="s">
        <v>18</v>
      </c>
      <c r="N262">
        <v>4.5999999999999996</v>
      </c>
    </row>
    <row r="263" spans="1:14">
      <c r="A263">
        <v>262</v>
      </c>
      <c r="B263" s="1">
        <v>45242</v>
      </c>
      <c r="C263">
        <v>132</v>
      </c>
      <c r="D263" t="s">
        <v>14</v>
      </c>
      <c r="E263">
        <v>54</v>
      </c>
      <c r="F263" t="str" cm="1">
        <f t="array" ref="F263">_xlfn.IFS(E263&lt;18, "0-17",
     E263&lt;25, "18-24",
     E263&lt;35, "25-34",
     E263&lt;45, "35-44",
     E263&lt;55, "45-54",
     E263&lt;65, "55-64",
     TRUE, "65+")</f>
        <v>45-54</v>
      </c>
      <c r="G263" t="s">
        <v>20</v>
      </c>
      <c r="H263" t="s">
        <v>36</v>
      </c>
      <c r="I263" s="2">
        <v>84.99</v>
      </c>
      <c r="J263">
        <v>1</v>
      </c>
      <c r="K263" s="2">
        <v>84.99</v>
      </c>
      <c r="L263" t="s">
        <v>17</v>
      </c>
      <c r="M263" t="s">
        <v>26</v>
      </c>
      <c r="N263">
        <v>9.4</v>
      </c>
    </row>
    <row r="264" spans="1:14">
      <c r="A264">
        <v>263</v>
      </c>
      <c r="B264" s="1">
        <v>45245</v>
      </c>
      <c r="C264">
        <v>146</v>
      </c>
      <c r="D264" t="s">
        <v>19</v>
      </c>
      <c r="E264">
        <v>44</v>
      </c>
      <c r="F264" t="str" cm="1">
        <f t="array" ref="F264">_xlfn.IFS(E264&lt;18, "0-17",
     E264&lt;25, "18-24",
     E264&lt;35, "25-34",
     E264&lt;45, "35-44",
     E264&lt;55, "45-54",
     E264&lt;65, "55-64",
     TRUE, "65+")</f>
        <v>35-44</v>
      </c>
      <c r="G264" t="s">
        <v>15</v>
      </c>
      <c r="H264" t="s">
        <v>46</v>
      </c>
      <c r="I264" s="2">
        <v>79.989999999999995</v>
      </c>
      <c r="J264">
        <v>2</v>
      </c>
      <c r="K264" s="2">
        <v>159.97999999999999</v>
      </c>
      <c r="L264" t="s">
        <v>17</v>
      </c>
      <c r="M264" t="s">
        <v>18</v>
      </c>
      <c r="N264">
        <v>5.5</v>
      </c>
    </row>
    <row r="265" spans="1:14">
      <c r="A265">
        <v>264</v>
      </c>
      <c r="B265" s="1">
        <v>45248</v>
      </c>
      <c r="C265">
        <v>132</v>
      </c>
      <c r="D265" t="s">
        <v>14</v>
      </c>
      <c r="E265">
        <v>37</v>
      </c>
      <c r="F265" t="str" cm="1">
        <f t="array" ref="F265">_xlfn.IFS(E265&lt;18, "0-17",
     E265&lt;25, "18-24",
     E265&lt;35, "25-34",
     E265&lt;45, "35-44",
     E265&lt;55, "45-54",
     E265&lt;65, "55-64",
     TRUE, "65+")</f>
        <v>35-44</v>
      </c>
      <c r="G265" t="s">
        <v>23</v>
      </c>
      <c r="H265" t="s">
        <v>45</v>
      </c>
      <c r="I265" s="2">
        <v>65.989999999999995</v>
      </c>
      <c r="J265">
        <v>1</v>
      </c>
      <c r="K265" s="2">
        <v>65.989999999999995</v>
      </c>
      <c r="L265" t="s">
        <v>17</v>
      </c>
      <c r="M265" t="s">
        <v>18</v>
      </c>
      <c r="N265">
        <v>9.4</v>
      </c>
    </row>
    <row r="266" spans="1:14">
      <c r="A266">
        <v>265</v>
      </c>
      <c r="B266" s="1">
        <v>45250</v>
      </c>
      <c r="C266">
        <v>122</v>
      </c>
      <c r="D266" t="s">
        <v>19</v>
      </c>
      <c r="E266">
        <v>55</v>
      </c>
      <c r="F266" t="str" cm="1">
        <f t="array" ref="F266">_xlfn.IFS(E266&lt;18, "0-17",
     E266&lt;25, "18-24",
     E266&lt;35, "25-34",
     E266&lt;45, "35-44",
     E266&lt;55, "45-54",
     E266&lt;65, "55-64",
     TRUE, "65+")</f>
        <v>55-64</v>
      </c>
      <c r="G266" t="s">
        <v>28</v>
      </c>
      <c r="H266" t="s">
        <v>50</v>
      </c>
      <c r="I266" s="2">
        <v>52.99</v>
      </c>
      <c r="J266">
        <v>1</v>
      </c>
      <c r="K266" s="2">
        <v>52.99</v>
      </c>
      <c r="L266" t="s">
        <v>17</v>
      </c>
      <c r="M266" t="s">
        <v>18</v>
      </c>
      <c r="N266">
        <v>5.6</v>
      </c>
    </row>
    <row r="267" spans="1:14">
      <c r="A267">
        <v>266</v>
      </c>
      <c r="B267" s="1">
        <v>45252</v>
      </c>
      <c r="C267">
        <v>190</v>
      </c>
      <c r="D267" t="s">
        <v>14</v>
      </c>
      <c r="E267">
        <v>64</v>
      </c>
      <c r="F267" t="str" cm="1">
        <f t="array" ref="F267">_xlfn.IFS(E267&lt;18, "0-17",
     E267&lt;25, "18-24",
     E267&lt;35, "25-34",
     E267&lt;45, "35-44",
     E267&lt;55, "45-54",
     E267&lt;65, "55-64",
     TRUE, "65+")</f>
        <v>55-64</v>
      </c>
      <c r="G267" t="s">
        <v>20</v>
      </c>
      <c r="H267" t="s">
        <v>44</v>
      </c>
      <c r="I267" s="2">
        <v>10.99</v>
      </c>
      <c r="J267">
        <v>4</v>
      </c>
      <c r="K267" s="2">
        <v>43.96</v>
      </c>
      <c r="L267" t="s">
        <v>22</v>
      </c>
      <c r="M267" t="s">
        <v>18</v>
      </c>
      <c r="N267">
        <v>8.4</v>
      </c>
    </row>
    <row r="268" spans="1:14">
      <c r="A268">
        <v>267</v>
      </c>
      <c r="B268" s="1">
        <v>45255</v>
      </c>
      <c r="C268">
        <v>135</v>
      </c>
      <c r="D268" t="s">
        <v>19</v>
      </c>
      <c r="E268">
        <v>29</v>
      </c>
      <c r="F268" t="str" cm="1">
        <f t="array" ref="F268">_xlfn.IFS(E268&lt;18, "0-17",
     E268&lt;25, "18-24",
     E268&lt;35, "25-34",
     E268&lt;45, "35-44",
     E268&lt;55, "45-54",
     E268&lt;65, "55-64",
     TRUE, "65+")</f>
        <v>25-34</v>
      </c>
      <c r="G268" t="s">
        <v>15</v>
      </c>
      <c r="H268" t="s">
        <v>30</v>
      </c>
      <c r="I268" s="2">
        <v>14.99</v>
      </c>
      <c r="J268">
        <v>3</v>
      </c>
      <c r="K268" s="2">
        <v>44.97</v>
      </c>
      <c r="L268" t="s">
        <v>17</v>
      </c>
      <c r="M268" t="s">
        <v>18</v>
      </c>
      <c r="N268">
        <v>8</v>
      </c>
    </row>
    <row r="269" spans="1:14">
      <c r="A269">
        <v>268</v>
      </c>
      <c r="B269" s="1">
        <v>45258</v>
      </c>
      <c r="C269">
        <v>157</v>
      </c>
      <c r="D269" t="s">
        <v>14</v>
      </c>
      <c r="E269">
        <v>52</v>
      </c>
      <c r="F269" t="str" cm="1">
        <f t="array" ref="F269">_xlfn.IFS(E269&lt;18, "0-17",
     E269&lt;25, "18-24",
     E269&lt;35, "25-34",
     E269&lt;45, "35-44",
     E269&lt;55, "45-54",
     E269&lt;65, "55-64",
     TRUE, "65+")</f>
        <v>45-54</v>
      </c>
      <c r="G269" t="s">
        <v>23</v>
      </c>
      <c r="H269" t="s">
        <v>37</v>
      </c>
      <c r="I269" s="2">
        <v>23.99</v>
      </c>
      <c r="J269">
        <v>4</v>
      </c>
      <c r="K269" s="2">
        <v>95.96</v>
      </c>
      <c r="L269" t="s">
        <v>17</v>
      </c>
      <c r="M269" t="s">
        <v>26</v>
      </c>
      <c r="N269">
        <v>3.3</v>
      </c>
    </row>
    <row r="270" spans="1:14">
      <c r="A270">
        <v>269</v>
      </c>
      <c r="B270" s="1">
        <v>45260</v>
      </c>
      <c r="C270">
        <v>147</v>
      </c>
      <c r="D270" t="s">
        <v>19</v>
      </c>
      <c r="E270">
        <v>38</v>
      </c>
      <c r="F270" t="str" cm="1">
        <f t="array" ref="F270">_xlfn.IFS(E270&lt;18, "0-17",
     E270&lt;25, "18-24",
     E270&lt;35, "25-34",
     E270&lt;45, "35-44",
     E270&lt;55, "45-54",
     E270&lt;65, "55-64",
     TRUE, "65+")</f>
        <v>35-44</v>
      </c>
      <c r="G270" t="s">
        <v>28</v>
      </c>
      <c r="H270" t="s">
        <v>29</v>
      </c>
      <c r="I270" s="2">
        <v>42.99</v>
      </c>
      <c r="J270">
        <v>2</v>
      </c>
      <c r="K270" s="2">
        <v>85.98</v>
      </c>
      <c r="L270" t="s">
        <v>17</v>
      </c>
      <c r="M270" t="s">
        <v>18</v>
      </c>
      <c r="N270">
        <v>3.6</v>
      </c>
    </row>
    <row r="271" spans="1:14">
      <c r="A271">
        <v>270</v>
      </c>
      <c r="B271" s="1">
        <v>45263</v>
      </c>
      <c r="C271">
        <v>186</v>
      </c>
      <c r="D271" t="s">
        <v>14</v>
      </c>
      <c r="E271">
        <v>60</v>
      </c>
      <c r="F271" t="str" cm="1">
        <f t="array" ref="F271">_xlfn.IFS(E271&lt;18, "0-17",
     E271&lt;25, "18-24",
     E271&lt;35, "25-34",
     E271&lt;45, "35-44",
     E271&lt;55, "45-54",
     E271&lt;65, "55-64",
     TRUE, "65+")</f>
        <v>55-64</v>
      </c>
      <c r="G271" t="s">
        <v>20</v>
      </c>
      <c r="H271" t="s">
        <v>21</v>
      </c>
      <c r="I271" s="2">
        <v>49.99</v>
      </c>
      <c r="J271">
        <v>2</v>
      </c>
      <c r="K271" s="2">
        <v>99.98</v>
      </c>
      <c r="L271" t="s">
        <v>17</v>
      </c>
      <c r="M271" t="s">
        <v>18</v>
      </c>
      <c r="N271">
        <v>6.6</v>
      </c>
    </row>
    <row r="272" spans="1:14">
      <c r="A272">
        <v>271</v>
      </c>
      <c r="B272" s="1">
        <v>45265</v>
      </c>
      <c r="C272">
        <v>156</v>
      </c>
      <c r="D272" t="s">
        <v>19</v>
      </c>
      <c r="E272">
        <v>45</v>
      </c>
      <c r="F272" t="str" cm="1">
        <f t="array" ref="F272">_xlfn.IFS(E272&lt;18, "0-17",
     E272&lt;25, "18-24",
     E272&lt;35, "25-34",
     E272&lt;45, "35-44",
     E272&lt;55, "45-54",
     E272&lt;65, "55-64",
     TRUE, "65+")</f>
        <v>45-54</v>
      </c>
      <c r="G272" t="s">
        <v>15</v>
      </c>
      <c r="H272" t="s">
        <v>48</v>
      </c>
      <c r="I272" s="2">
        <v>29.99</v>
      </c>
      <c r="J272">
        <v>1</v>
      </c>
      <c r="K272" s="2">
        <v>29.99</v>
      </c>
      <c r="L272" t="s">
        <v>17</v>
      </c>
      <c r="M272" t="s">
        <v>18</v>
      </c>
      <c r="N272">
        <v>1.4</v>
      </c>
    </row>
    <row r="273" spans="1:14">
      <c r="A273">
        <v>272</v>
      </c>
      <c r="B273" s="1">
        <v>45268</v>
      </c>
      <c r="C273">
        <v>140</v>
      </c>
      <c r="D273" t="s">
        <v>14</v>
      </c>
      <c r="E273">
        <v>28</v>
      </c>
      <c r="F273" t="str" cm="1">
        <f t="array" ref="F273">_xlfn.IFS(E273&lt;18, "0-17",
     E273&lt;25, "18-24",
     E273&lt;35, "25-34",
     E273&lt;45, "35-44",
     E273&lt;55, "45-54",
     E273&lt;65, "55-64",
     TRUE, "65+")</f>
        <v>25-34</v>
      </c>
      <c r="G273" t="s">
        <v>23</v>
      </c>
      <c r="H273" t="s">
        <v>49</v>
      </c>
      <c r="I273" s="2">
        <v>26.99</v>
      </c>
      <c r="J273">
        <v>3</v>
      </c>
      <c r="K273" s="2">
        <v>80.97</v>
      </c>
      <c r="L273" t="s">
        <v>31</v>
      </c>
      <c r="M273" t="s">
        <v>18</v>
      </c>
      <c r="N273">
        <v>4.5</v>
      </c>
    </row>
    <row r="274" spans="1:14">
      <c r="A274">
        <v>273</v>
      </c>
      <c r="B274" s="1">
        <v>45270</v>
      </c>
      <c r="C274">
        <v>104</v>
      </c>
      <c r="D274" t="s">
        <v>19</v>
      </c>
      <c r="E274">
        <v>51</v>
      </c>
      <c r="F274" t="str" cm="1">
        <f t="array" ref="F274">_xlfn.IFS(E274&lt;18, "0-17",
     E274&lt;25, "18-24",
     E274&lt;35, "25-34",
     E274&lt;45, "35-44",
     E274&lt;55, "45-54",
     E274&lt;65, "55-64",
     TRUE, "65+")</f>
        <v>45-54</v>
      </c>
      <c r="G274" t="s">
        <v>28</v>
      </c>
      <c r="H274" t="s">
        <v>39</v>
      </c>
      <c r="I274" s="2">
        <v>9.99</v>
      </c>
      <c r="J274">
        <v>4</v>
      </c>
      <c r="K274" s="2">
        <v>39.96</v>
      </c>
      <c r="L274" t="s">
        <v>17</v>
      </c>
      <c r="M274" t="s">
        <v>26</v>
      </c>
      <c r="N274">
        <v>1.4</v>
      </c>
    </row>
    <row r="275" spans="1:14">
      <c r="A275">
        <v>274</v>
      </c>
      <c r="B275" s="1">
        <v>45272</v>
      </c>
      <c r="C275">
        <v>192</v>
      </c>
      <c r="D275" t="s">
        <v>14</v>
      </c>
      <c r="E275">
        <v>36</v>
      </c>
      <c r="F275" t="str" cm="1">
        <f t="array" ref="F275">_xlfn.IFS(E275&lt;18, "0-17",
     E275&lt;25, "18-24",
     E275&lt;35, "25-34",
     E275&lt;45, "35-44",
     E275&lt;55, "45-54",
     E275&lt;65, "55-64",
     TRUE, "65+")</f>
        <v>35-44</v>
      </c>
      <c r="G275" t="s">
        <v>20</v>
      </c>
      <c r="H275" t="s">
        <v>32</v>
      </c>
      <c r="I275" s="2">
        <v>69.989999999999995</v>
      </c>
      <c r="J275">
        <v>1</v>
      </c>
      <c r="K275" s="2">
        <v>69.989999999999995</v>
      </c>
      <c r="L275" t="s">
        <v>17</v>
      </c>
      <c r="M275" t="s">
        <v>18</v>
      </c>
      <c r="N275">
        <v>0</v>
      </c>
    </row>
    <row r="276" spans="1:14">
      <c r="A276">
        <v>275</v>
      </c>
      <c r="B276" s="1">
        <v>45275</v>
      </c>
      <c r="C276">
        <v>105</v>
      </c>
      <c r="D276" t="s">
        <v>19</v>
      </c>
      <c r="E276">
        <v>44</v>
      </c>
      <c r="F276" t="str" cm="1">
        <f t="array" ref="F276">_xlfn.IFS(E276&lt;18, "0-17",
     E276&lt;25, "18-24",
     E276&lt;35, "25-34",
     E276&lt;45, "35-44",
     E276&lt;55, "45-54",
     E276&lt;65, "55-64",
     TRUE, "65+")</f>
        <v>35-44</v>
      </c>
      <c r="G276" t="s">
        <v>15</v>
      </c>
      <c r="H276" t="s">
        <v>38</v>
      </c>
      <c r="I276" s="2">
        <v>99.99</v>
      </c>
      <c r="J276">
        <v>1</v>
      </c>
      <c r="K276" s="2">
        <v>99.99</v>
      </c>
      <c r="L276" t="s">
        <v>17</v>
      </c>
      <c r="M276" t="s">
        <v>18</v>
      </c>
      <c r="N276">
        <v>3.7</v>
      </c>
    </row>
    <row r="277" spans="1:14">
      <c r="A277">
        <v>276</v>
      </c>
      <c r="B277" s="1">
        <v>45278</v>
      </c>
      <c r="C277">
        <v>179</v>
      </c>
      <c r="D277" t="s">
        <v>14</v>
      </c>
      <c r="E277">
        <v>57</v>
      </c>
      <c r="F277" t="str" cm="1">
        <f t="array" ref="F277">_xlfn.IFS(E277&lt;18, "0-17",
     E277&lt;25, "18-24",
     E277&lt;35, "25-34",
     E277&lt;45, "35-44",
     E277&lt;55, "45-54",
     E277&lt;65, "55-64",
     TRUE, "65+")</f>
        <v>55-64</v>
      </c>
      <c r="G277" t="s">
        <v>23</v>
      </c>
      <c r="H277" t="s">
        <v>24</v>
      </c>
      <c r="I277" s="2">
        <v>32.99</v>
      </c>
      <c r="J277">
        <v>2</v>
      </c>
      <c r="K277" s="2">
        <v>65.98</v>
      </c>
      <c r="L277" t="s">
        <v>22</v>
      </c>
      <c r="M277" t="s">
        <v>18</v>
      </c>
      <c r="N277">
        <v>9.8000000000000007</v>
      </c>
    </row>
    <row r="278" spans="1:14">
      <c r="A278">
        <v>277</v>
      </c>
      <c r="B278" s="1">
        <v>45280</v>
      </c>
      <c r="C278">
        <v>155</v>
      </c>
      <c r="D278" t="s">
        <v>19</v>
      </c>
      <c r="E278">
        <v>46</v>
      </c>
      <c r="F278" t="str" cm="1">
        <f t="array" ref="F278">_xlfn.IFS(E278&lt;18, "0-17",
     E278&lt;25, "18-24",
     E278&lt;35, "25-34",
     E278&lt;45, "35-44",
     E278&lt;55, "45-54",
     E278&lt;65, "55-64",
     TRUE, "65+")</f>
        <v>45-54</v>
      </c>
      <c r="G278" t="s">
        <v>28</v>
      </c>
      <c r="H278" t="s">
        <v>35</v>
      </c>
      <c r="I278" s="2">
        <v>18.989999999999998</v>
      </c>
      <c r="J278">
        <v>2</v>
      </c>
      <c r="K278" s="2">
        <v>37.979999999999997</v>
      </c>
      <c r="L278" t="s">
        <v>17</v>
      </c>
      <c r="M278" t="s">
        <v>18</v>
      </c>
      <c r="N278">
        <v>6.2</v>
      </c>
    </row>
    <row r="279" spans="1:14">
      <c r="A279">
        <v>278</v>
      </c>
      <c r="B279" s="1">
        <v>45282</v>
      </c>
      <c r="C279">
        <v>110</v>
      </c>
      <c r="D279" t="s">
        <v>14</v>
      </c>
      <c r="E279">
        <v>32</v>
      </c>
      <c r="F279" t="str" cm="1">
        <f t="array" ref="F279">_xlfn.IFS(E279&lt;18, "0-17",
     E279&lt;25, "18-24",
     E279&lt;35, "25-34",
     E279&lt;45, "35-44",
     E279&lt;55, "45-54",
     E279&lt;65, "55-64",
     TRUE, "65+")</f>
        <v>25-34</v>
      </c>
      <c r="G279" t="s">
        <v>20</v>
      </c>
      <c r="H279" t="s">
        <v>47</v>
      </c>
      <c r="I279" s="2">
        <v>17.989999999999998</v>
      </c>
      <c r="J279">
        <v>2</v>
      </c>
      <c r="K279" s="2">
        <v>35.979999999999997</v>
      </c>
      <c r="L279" t="s">
        <v>17</v>
      </c>
      <c r="M279" t="s">
        <v>26</v>
      </c>
      <c r="N279">
        <v>0.8</v>
      </c>
    </row>
    <row r="280" spans="1:14">
      <c r="A280">
        <v>279</v>
      </c>
      <c r="B280" s="1">
        <v>45285</v>
      </c>
      <c r="C280">
        <v>139</v>
      </c>
      <c r="D280" t="s">
        <v>19</v>
      </c>
      <c r="E280">
        <v>61</v>
      </c>
      <c r="F280" t="str" cm="1">
        <f t="array" ref="F280">_xlfn.IFS(E280&lt;18, "0-17",
     E280&lt;25, "18-24",
     E280&lt;35, "25-34",
     E280&lt;45, "35-44",
     E280&lt;55, "45-54",
     E280&lt;65, "55-64",
     TRUE, "65+")</f>
        <v>55-64</v>
      </c>
      <c r="G280" t="s">
        <v>15</v>
      </c>
      <c r="H280" t="s">
        <v>42</v>
      </c>
      <c r="I280" s="2">
        <v>199.99</v>
      </c>
      <c r="J280">
        <v>1</v>
      </c>
      <c r="K280" s="2">
        <v>199.99</v>
      </c>
      <c r="L280" t="s">
        <v>17</v>
      </c>
      <c r="M280" t="s">
        <v>18</v>
      </c>
      <c r="N280">
        <v>2.1</v>
      </c>
    </row>
    <row r="281" spans="1:14">
      <c r="A281">
        <v>280</v>
      </c>
      <c r="B281" s="1">
        <v>45287</v>
      </c>
      <c r="C281">
        <v>158</v>
      </c>
      <c r="D281" t="s">
        <v>14</v>
      </c>
      <c r="E281">
        <v>41</v>
      </c>
      <c r="F281" t="str" cm="1">
        <f t="array" ref="F281">_xlfn.IFS(E281&lt;18, "0-17",
     E281&lt;25, "18-24",
     E281&lt;35, "25-34",
     E281&lt;45, "35-44",
     E281&lt;55, "45-54",
     E281&lt;65, "55-64",
     TRUE, "65+")</f>
        <v>35-44</v>
      </c>
      <c r="G281" t="s">
        <v>23</v>
      </c>
      <c r="H281" t="s">
        <v>33</v>
      </c>
      <c r="I281" s="2">
        <v>49.99</v>
      </c>
      <c r="J281">
        <v>2</v>
      </c>
      <c r="K281" s="2">
        <v>99.98</v>
      </c>
      <c r="L281" t="s">
        <v>17</v>
      </c>
      <c r="M281" t="s">
        <v>18</v>
      </c>
      <c r="N281">
        <v>2.2000000000000002</v>
      </c>
    </row>
    <row r="282" spans="1:14">
      <c r="A282">
        <v>281</v>
      </c>
      <c r="B282" s="1">
        <v>45289</v>
      </c>
      <c r="C282">
        <v>144</v>
      </c>
      <c r="D282" t="s">
        <v>19</v>
      </c>
      <c r="E282">
        <v>27</v>
      </c>
      <c r="F282" t="str" cm="1">
        <f t="array" ref="F282">_xlfn.IFS(E282&lt;18, "0-17",
     E282&lt;25, "18-24",
     E282&lt;35, "25-34",
     E282&lt;45, "35-44",
     E282&lt;55, "45-54",
     E282&lt;65, "55-64",
     TRUE, "65+")</f>
        <v>25-34</v>
      </c>
      <c r="G282" t="s">
        <v>28</v>
      </c>
      <c r="H282" t="s">
        <v>43</v>
      </c>
      <c r="I282" s="2">
        <v>15.99</v>
      </c>
      <c r="J282">
        <v>3</v>
      </c>
      <c r="K282" s="2">
        <v>47.97</v>
      </c>
      <c r="L282" t="s">
        <v>17</v>
      </c>
      <c r="M282" t="s">
        <v>18</v>
      </c>
      <c r="N282">
        <v>4.9000000000000004</v>
      </c>
    </row>
    <row r="283" spans="1:14">
      <c r="A283">
        <v>282</v>
      </c>
      <c r="B283" s="1">
        <v>44930</v>
      </c>
      <c r="C283">
        <v>136</v>
      </c>
      <c r="D283" t="s">
        <v>14</v>
      </c>
      <c r="E283">
        <v>53</v>
      </c>
      <c r="F283" t="str" cm="1">
        <f t="array" ref="F283">_xlfn.IFS(E283&lt;18, "0-17",
     E283&lt;25, "18-24",
     E283&lt;35, "25-34",
     E283&lt;45, "35-44",
     E283&lt;55, "45-54",
     E283&lt;65, "55-64",
     TRUE, "65+")</f>
        <v>45-54</v>
      </c>
      <c r="G283" t="s">
        <v>20</v>
      </c>
      <c r="H283" t="s">
        <v>40</v>
      </c>
      <c r="I283" s="2">
        <v>89.99</v>
      </c>
      <c r="J283">
        <v>2</v>
      </c>
      <c r="K283" s="2">
        <v>179.98</v>
      </c>
      <c r="L283" t="s">
        <v>25</v>
      </c>
      <c r="M283" t="s">
        <v>26</v>
      </c>
      <c r="N283">
        <v>4.5999999999999996</v>
      </c>
    </row>
    <row r="284" spans="1:14">
      <c r="A284">
        <v>283</v>
      </c>
      <c r="B284" s="1">
        <v>44933</v>
      </c>
      <c r="C284">
        <v>128</v>
      </c>
      <c r="D284" t="s">
        <v>19</v>
      </c>
      <c r="E284">
        <v>34</v>
      </c>
      <c r="F284" t="str" cm="1">
        <f t="array" ref="F284">_xlfn.IFS(E284&lt;18, "0-17",
     E284&lt;25, "18-24",
     E284&lt;35, "25-34",
     E284&lt;45, "35-44",
     E284&lt;55, "45-54",
     E284&lt;65, "55-64",
     TRUE, "65+")</f>
        <v>25-34</v>
      </c>
      <c r="G284" t="s">
        <v>15</v>
      </c>
      <c r="H284" t="s">
        <v>46</v>
      </c>
      <c r="I284" s="2">
        <v>79.989999999999995</v>
      </c>
      <c r="J284">
        <v>1</v>
      </c>
      <c r="K284" s="2">
        <v>79.989999999999995</v>
      </c>
      <c r="L284" t="s">
        <v>17</v>
      </c>
      <c r="M284" t="s">
        <v>18</v>
      </c>
      <c r="N284">
        <v>8.8000000000000007</v>
      </c>
    </row>
    <row r="285" spans="1:14">
      <c r="A285">
        <v>284</v>
      </c>
      <c r="B285" s="1">
        <v>44935</v>
      </c>
      <c r="C285">
        <v>122</v>
      </c>
      <c r="D285" t="s">
        <v>14</v>
      </c>
      <c r="E285">
        <v>47</v>
      </c>
      <c r="F285" t="str" cm="1">
        <f t="array" ref="F285">_xlfn.IFS(E285&lt;18, "0-17",
     E285&lt;25, "18-24",
     E285&lt;35, "25-34",
     E285&lt;45, "35-44",
     E285&lt;55, "45-54",
     E285&lt;65, "55-64",
     TRUE, "65+")</f>
        <v>45-54</v>
      </c>
      <c r="G285" t="s">
        <v>23</v>
      </c>
      <c r="H285" t="s">
        <v>41</v>
      </c>
      <c r="I285" s="2">
        <v>149.99</v>
      </c>
      <c r="J285">
        <v>1</v>
      </c>
      <c r="K285" s="2">
        <v>149.99</v>
      </c>
      <c r="L285" t="s">
        <v>17</v>
      </c>
      <c r="M285" t="s">
        <v>18</v>
      </c>
      <c r="N285">
        <v>5.6</v>
      </c>
    </row>
    <row r="286" spans="1:14">
      <c r="A286">
        <v>285</v>
      </c>
      <c r="B286" s="1">
        <v>44938</v>
      </c>
      <c r="C286">
        <v>188</v>
      </c>
      <c r="D286" t="s">
        <v>19</v>
      </c>
      <c r="E286">
        <v>66</v>
      </c>
      <c r="F286" t="str" cm="1">
        <f t="array" ref="F286">_xlfn.IFS(E286&lt;18, "0-17",
     E286&lt;25, "18-24",
     E286&lt;35, "25-34",
     E286&lt;45, "35-44",
     E286&lt;55, "45-54",
     E286&lt;65, "55-64",
     TRUE, "65+")</f>
        <v>65+</v>
      </c>
      <c r="G286" t="s">
        <v>28</v>
      </c>
      <c r="H286" t="s">
        <v>50</v>
      </c>
      <c r="I286" s="2">
        <v>47.99</v>
      </c>
      <c r="J286">
        <v>2</v>
      </c>
      <c r="K286" s="2">
        <v>95.98</v>
      </c>
      <c r="L286" t="s">
        <v>17</v>
      </c>
      <c r="M286" t="s">
        <v>18</v>
      </c>
      <c r="N286">
        <v>6.4</v>
      </c>
    </row>
    <row r="287" spans="1:14">
      <c r="A287">
        <v>286</v>
      </c>
      <c r="B287" s="1">
        <v>44940</v>
      </c>
      <c r="C287">
        <v>180</v>
      </c>
      <c r="D287" t="s">
        <v>14</v>
      </c>
      <c r="E287">
        <v>40</v>
      </c>
      <c r="F287" t="str" cm="1">
        <f t="array" ref="F287">_xlfn.IFS(E287&lt;18, "0-17",
     E287&lt;25, "18-24",
     E287&lt;35, "25-34",
     E287&lt;45, "35-44",
     E287&lt;55, "45-54",
     E287&lt;65, "55-64",
     TRUE, "65+")</f>
        <v>35-44</v>
      </c>
      <c r="G287" t="s">
        <v>20</v>
      </c>
      <c r="H287" t="s">
        <v>32</v>
      </c>
      <c r="I287" s="2">
        <v>64.989999999999995</v>
      </c>
      <c r="J287">
        <v>1</v>
      </c>
      <c r="K287" s="2">
        <v>64.989999999999995</v>
      </c>
      <c r="L287" t="s">
        <v>17</v>
      </c>
      <c r="M287" t="s">
        <v>26</v>
      </c>
      <c r="N287">
        <v>5.9</v>
      </c>
    </row>
    <row r="288" spans="1:14">
      <c r="A288">
        <v>287</v>
      </c>
      <c r="B288" s="1">
        <v>44943</v>
      </c>
      <c r="C288">
        <v>125</v>
      </c>
      <c r="D288" t="s">
        <v>19</v>
      </c>
      <c r="E288">
        <v>55</v>
      </c>
      <c r="F288" t="str" cm="1">
        <f t="array" ref="F288">_xlfn.IFS(E288&lt;18, "0-17",
     E288&lt;25, "18-24",
     E288&lt;35, "25-34",
     E288&lt;45, "35-44",
     E288&lt;55, "45-54",
     E288&lt;65, "55-64",
     TRUE, "65+")</f>
        <v>55-64</v>
      </c>
      <c r="G288" t="s">
        <v>15</v>
      </c>
      <c r="H288" t="s">
        <v>16</v>
      </c>
      <c r="I288" s="2">
        <v>59.99</v>
      </c>
      <c r="J288">
        <v>2</v>
      </c>
      <c r="K288" s="2">
        <v>119.98</v>
      </c>
      <c r="L288" t="s">
        <v>22</v>
      </c>
      <c r="M288" t="s">
        <v>18</v>
      </c>
      <c r="N288">
        <v>6.8</v>
      </c>
    </row>
    <row r="289" spans="1:14">
      <c r="A289">
        <v>288</v>
      </c>
      <c r="B289" s="1">
        <v>44945</v>
      </c>
      <c r="C289">
        <v>134</v>
      </c>
      <c r="D289" t="s">
        <v>14</v>
      </c>
      <c r="E289">
        <v>33</v>
      </c>
      <c r="F289" t="str" cm="1">
        <f t="array" ref="F289">_xlfn.IFS(E289&lt;18, "0-17",
     E289&lt;25, "18-24",
     E289&lt;35, "25-34",
     E289&lt;45, "35-44",
     E289&lt;55, "45-54",
     E289&lt;65, "55-64",
     TRUE, "65+")</f>
        <v>25-34</v>
      </c>
      <c r="G289" t="s">
        <v>23</v>
      </c>
      <c r="H289" t="s">
        <v>45</v>
      </c>
      <c r="I289" s="2">
        <v>55.99</v>
      </c>
      <c r="J289">
        <v>2</v>
      </c>
      <c r="K289" s="2">
        <v>111.98</v>
      </c>
      <c r="L289" t="s">
        <v>17</v>
      </c>
      <c r="M289" t="s">
        <v>18</v>
      </c>
      <c r="N289">
        <v>4.5999999999999996</v>
      </c>
    </row>
    <row r="290" spans="1:14">
      <c r="A290">
        <v>289</v>
      </c>
      <c r="B290" s="1">
        <v>44947</v>
      </c>
      <c r="C290">
        <v>192</v>
      </c>
      <c r="D290" t="s">
        <v>19</v>
      </c>
      <c r="E290">
        <v>29</v>
      </c>
      <c r="F290" t="str" cm="1">
        <f t="array" ref="F290">_xlfn.IFS(E290&lt;18, "0-17",
     E290&lt;25, "18-24",
     E290&lt;35, "25-34",
     E290&lt;45, "35-44",
     E290&lt;55, "45-54",
     E290&lt;65, "55-64",
     TRUE, "65+")</f>
        <v>25-34</v>
      </c>
      <c r="G290" t="s">
        <v>28</v>
      </c>
      <c r="H290" t="s">
        <v>29</v>
      </c>
      <c r="I290" s="2">
        <v>39.99</v>
      </c>
      <c r="J290">
        <v>2</v>
      </c>
      <c r="K290" s="2">
        <v>79.98</v>
      </c>
      <c r="L290" t="s">
        <v>17</v>
      </c>
      <c r="M290" t="s">
        <v>18</v>
      </c>
      <c r="N290">
        <v>0</v>
      </c>
    </row>
    <row r="291" spans="1:14">
      <c r="A291">
        <v>290</v>
      </c>
      <c r="B291" s="1">
        <v>44950</v>
      </c>
      <c r="C291">
        <v>138</v>
      </c>
      <c r="D291" t="s">
        <v>14</v>
      </c>
      <c r="E291">
        <v>60</v>
      </c>
      <c r="F291" t="str" cm="1">
        <f t="array" ref="F291">_xlfn.IFS(E291&lt;18, "0-17",
     E291&lt;25, "18-24",
     E291&lt;35, "25-34",
     E291&lt;45, "35-44",
     E291&lt;55, "45-54",
     E291&lt;65, "55-64",
     TRUE, "65+")</f>
        <v>55-64</v>
      </c>
      <c r="G291" t="s">
        <v>20</v>
      </c>
      <c r="H291" t="s">
        <v>44</v>
      </c>
      <c r="I291" s="2">
        <v>9.99</v>
      </c>
      <c r="J291">
        <v>5</v>
      </c>
      <c r="K291" s="2">
        <v>49.95</v>
      </c>
      <c r="L291" t="s">
        <v>17</v>
      </c>
      <c r="M291" t="s">
        <v>18</v>
      </c>
      <c r="N291">
        <v>2.8</v>
      </c>
    </row>
    <row r="292" spans="1:14">
      <c r="A292">
        <v>291</v>
      </c>
      <c r="B292" s="1">
        <v>44952</v>
      </c>
      <c r="C292">
        <v>130</v>
      </c>
      <c r="D292" t="s">
        <v>19</v>
      </c>
      <c r="E292">
        <v>48</v>
      </c>
      <c r="F292" t="str" cm="1">
        <f t="array" ref="F292">_xlfn.IFS(E292&lt;18, "0-17",
     E292&lt;25, "18-24",
     E292&lt;35, "25-34",
     E292&lt;45, "35-44",
     E292&lt;55, "45-54",
     E292&lt;65, "55-64",
     TRUE, "65+")</f>
        <v>45-54</v>
      </c>
      <c r="G292" t="s">
        <v>15</v>
      </c>
      <c r="H292" t="s">
        <v>34</v>
      </c>
      <c r="I292" s="2">
        <v>16.989999999999998</v>
      </c>
      <c r="J292">
        <v>4</v>
      </c>
      <c r="K292" s="2">
        <v>67.959999999999994</v>
      </c>
      <c r="L292" t="s">
        <v>17</v>
      </c>
      <c r="M292" t="s">
        <v>18</v>
      </c>
      <c r="N292">
        <v>4</v>
      </c>
    </row>
    <row r="293" spans="1:14">
      <c r="A293">
        <v>292</v>
      </c>
      <c r="B293" s="1">
        <v>44955</v>
      </c>
      <c r="C293">
        <v>128</v>
      </c>
      <c r="D293" t="s">
        <v>14</v>
      </c>
      <c r="E293">
        <v>37</v>
      </c>
      <c r="F293" t="str" cm="1">
        <f t="array" ref="F293">_xlfn.IFS(E293&lt;18, "0-17",
     E293&lt;25, "18-24",
     E293&lt;35, "25-34",
     E293&lt;45, "35-44",
     E293&lt;55, "45-54",
     E293&lt;65, "55-64",
     TRUE, "65+")</f>
        <v>35-44</v>
      </c>
      <c r="G293" t="s">
        <v>23</v>
      </c>
      <c r="H293" t="s">
        <v>37</v>
      </c>
      <c r="I293" s="2">
        <v>22.99</v>
      </c>
      <c r="J293">
        <v>4</v>
      </c>
      <c r="K293" s="2">
        <v>91.96</v>
      </c>
      <c r="L293" t="s">
        <v>31</v>
      </c>
      <c r="M293" t="s">
        <v>18</v>
      </c>
      <c r="N293">
        <v>8.8000000000000007</v>
      </c>
    </row>
    <row r="294" spans="1:14">
      <c r="A294">
        <v>293</v>
      </c>
      <c r="B294" s="1">
        <v>44957</v>
      </c>
      <c r="C294">
        <v>165</v>
      </c>
      <c r="D294" t="s">
        <v>19</v>
      </c>
      <c r="E294">
        <v>44</v>
      </c>
      <c r="F294" t="str" cm="1">
        <f t="array" ref="F294">_xlfn.IFS(E294&lt;18, "0-17",
     E294&lt;25, "18-24",
     E294&lt;35, "25-34",
     E294&lt;45, "35-44",
     E294&lt;55, "45-54",
     E294&lt;65, "55-64",
     TRUE, "65+")</f>
        <v>35-44</v>
      </c>
      <c r="G294" t="s">
        <v>28</v>
      </c>
      <c r="H294" t="s">
        <v>39</v>
      </c>
      <c r="I294" s="2">
        <v>8.99</v>
      </c>
      <c r="J294">
        <v>3</v>
      </c>
      <c r="K294" s="2">
        <v>26.97</v>
      </c>
      <c r="L294" t="s">
        <v>17</v>
      </c>
      <c r="M294" t="s">
        <v>26</v>
      </c>
      <c r="N294">
        <v>3.7</v>
      </c>
    </row>
    <row r="295" spans="1:14">
      <c r="A295">
        <v>294</v>
      </c>
      <c r="B295" s="1">
        <v>44960</v>
      </c>
      <c r="C295">
        <v>115</v>
      </c>
      <c r="D295" t="s">
        <v>14</v>
      </c>
      <c r="E295">
        <v>59</v>
      </c>
      <c r="F295" t="str" cm="1">
        <f t="array" ref="F295">_xlfn.IFS(E295&lt;18, "0-17",
     E295&lt;25, "18-24",
     E295&lt;35, "25-34",
     E295&lt;45, "35-44",
     E295&lt;55, "45-54",
     E295&lt;65, "55-64",
     TRUE, "65+")</f>
        <v>55-64</v>
      </c>
      <c r="G295" t="s">
        <v>20</v>
      </c>
      <c r="H295" t="s">
        <v>21</v>
      </c>
      <c r="I295" s="2">
        <v>39.99</v>
      </c>
      <c r="J295">
        <v>3</v>
      </c>
      <c r="K295" s="2">
        <v>119.97</v>
      </c>
      <c r="L295" t="s">
        <v>17</v>
      </c>
      <c r="M295" t="s">
        <v>18</v>
      </c>
      <c r="N295">
        <v>0.1</v>
      </c>
    </row>
    <row r="296" spans="1:14">
      <c r="A296">
        <v>295</v>
      </c>
      <c r="B296" s="1">
        <v>44963</v>
      </c>
      <c r="C296">
        <v>182</v>
      </c>
      <c r="D296" t="s">
        <v>19</v>
      </c>
      <c r="E296">
        <v>46</v>
      </c>
      <c r="F296" t="str" cm="1">
        <f t="array" ref="F296">_xlfn.IFS(E296&lt;18, "0-17",
     E296&lt;25, "18-24",
     E296&lt;35, "25-34",
     E296&lt;45, "35-44",
     E296&lt;55, "45-54",
     E296&lt;65, "55-64",
     TRUE, "65+")</f>
        <v>45-54</v>
      </c>
      <c r="G296" t="s">
        <v>15</v>
      </c>
      <c r="H296" t="s">
        <v>38</v>
      </c>
      <c r="I296" s="2">
        <v>89.99</v>
      </c>
      <c r="J296">
        <v>1</v>
      </c>
      <c r="K296" s="2">
        <v>89.99</v>
      </c>
      <c r="L296" t="s">
        <v>17</v>
      </c>
      <c r="M296" t="s">
        <v>18</v>
      </c>
      <c r="N296">
        <v>1.6</v>
      </c>
    </row>
    <row r="297" spans="1:14">
      <c r="A297">
        <v>296</v>
      </c>
      <c r="B297" s="1">
        <v>44965</v>
      </c>
      <c r="C297">
        <v>112</v>
      </c>
      <c r="D297" t="s">
        <v>14</v>
      </c>
      <c r="E297">
        <v>52</v>
      </c>
      <c r="F297" t="str" cm="1">
        <f t="array" ref="F297">_xlfn.IFS(E297&lt;18, "0-17",
     E297&lt;25, "18-24",
     E297&lt;35, "25-34",
     E297&lt;45, "35-44",
     E297&lt;55, "45-54",
     E297&lt;65, "55-64",
     TRUE, "65+")</f>
        <v>45-54</v>
      </c>
      <c r="G297" t="s">
        <v>23</v>
      </c>
      <c r="H297" t="s">
        <v>49</v>
      </c>
      <c r="I297" s="2">
        <v>29.99</v>
      </c>
      <c r="J297">
        <v>2</v>
      </c>
      <c r="K297" s="2">
        <v>59.98</v>
      </c>
      <c r="L297" t="s">
        <v>17</v>
      </c>
      <c r="M297" t="s">
        <v>18</v>
      </c>
      <c r="N297">
        <v>8.6999999999999993</v>
      </c>
    </row>
    <row r="298" spans="1:14">
      <c r="A298">
        <v>297</v>
      </c>
      <c r="B298" s="1">
        <v>44967</v>
      </c>
      <c r="C298">
        <v>153</v>
      </c>
      <c r="D298" t="s">
        <v>19</v>
      </c>
      <c r="E298">
        <v>38</v>
      </c>
      <c r="F298" t="str" cm="1">
        <f t="array" ref="F298">_xlfn.IFS(E298&lt;18, "0-17",
     E298&lt;25, "18-24",
     E298&lt;35, "25-34",
     E298&lt;45, "35-44",
     E298&lt;55, "45-54",
     E298&lt;65, "55-64",
     TRUE, "65+")</f>
        <v>35-44</v>
      </c>
      <c r="G298" t="s">
        <v>28</v>
      </c>
      <c r="H298" t="s">
        <v>35</v>
      </c>
      <c r="I298" s="2">
        <v>15.99</v>
      </c>
      <c r="J298">
        <v>4</v>
      </c>
      <c r="K298" s="2">
        <v>63.96</v>
      </c>
      <c r="L298" t="s">
        <v>22</v>
      </c>
      <c r="M298" t="s">
        <v>18</v>
      </c>
      <c r="N298">
        <v>9.5</v>
      </c>
    </row>
    <row r="299" spans="1:14">
      <c r="A299">
        <v>298</v>
      </c>
      <c r="B299" s="1">
        <v>44969</v>
      </c>
      <c r="C299">
        <v>193</v>
      </c>
      <c r="D299" t="s">
        <v>14</v>
      </c>
      <c r="E299">
        <v>56</v>
      </c>
      <c r="F299" t="str" cm="1">
        <f t="array" ref="F299">_xlfn.IFS(E299&lt;18, "0-17",
     E299&lt;25, "18-24",
     E299&lt;35, "25-34",
     E299&lt;45, "35-44",
     E299&lt;55, "45-54",
     E299&lt;65, "55-64",
     TRUE, "65+")</f>
        <v>55-64</v>
      </c>
      <c r="G299" t="s">
        <v>20</v>
      </c>
      <c r="H299" t="s">
        <v>32</v>
      </c>
      <c r="I299" s="2">
        <v>69.989999999999995</v>
      </c>
      <c r="J299">
        <v>2</v>
      </c>
      <c r="K299" s="2">
        <v>139.97999999999999</v>
      </c>
      <c r="L299" t="s">
        <v>17</v>
      </c>
      <c r="M299" t="s">
        <v>26</v>
      </c>
      <c r="N299">
        <v>2.2999999999999998</v>
      </c>
    </row>
    <row r="300" spans="1:14">
      <c r="A300">
        <v>299</v>
      </c>
      <c r="B300" s="1">
        <v>44972</v>
      </c>
      <c r="C300">
        <v>176</v>
      </c>
      <c r="D300" t="s">
        <v>19</v>
      </c>
      <c r="E300">
        <v>36</v>
      </c>
      <c r="F300" t="str" cm="1">
        <f t="array" ref="F300">_xlfn.IFS(E300&lt;18, "0-17",
     E300&lt;25, "18-24",
     E300&lt;35, "25-34",
     E300&lt;45, "35-44",
     E300&lt;55, "45-54",
     E300&lt;65, "55-64",
     TRUE, "65+")</f>
        <v>35-44</v>
      </c>
      <c r="G300" t="s">
        <v>15</v>
      </c>
      <c r="H300" t="s">
        <v>48</v>
      </c>
      <c r="I300" s="2">
        <v>27.99</v>
      </c>
      <c r="J300">
        <v>1</v>
      </c>
      <c r="K300" s="2">
        <v>27.99</v>
      </c>
      <c r="L300" t="s">
        <v>17</v>
      </c>
      <c r="M300" t="s">
        <v>18</v>
      </c>
      <c r="N300">
        <v>1.8</v>
      </c>
    </row>
    <row r="301" spans="1:14">
      <c r="A301">
        <v>300</v>
      </c>
      <c r="B301" s="1">
        <v>44975</v>
      </c>
      <c r="C301">
        <v>181</v>
      </c>
      <c r="D301" t="s">
        <v>14</v>
      </c>
      <c r="E301">
        <v>43</v>
      </c>
      <c r="F301" t="str" cm="1">
        <f t="array" ref="F301">_xlfn.IFS(E301&lt;18, "0-17",
     E301&lt;25, "18-24",
     E301&lt;35, "25-34",
     E301&lt;45, "35-44",
     E301&lt;55, "45-54",
     E301&lt;65, "55-64",
     TRUE, "65+")</f>
        <v>35-44</v>
      </c>
      <c r="G301" t="s">
        <v>23</v>
      </c>
      <c r="H301" t="s">
        <v>24</v>
      </c>
      <c r="I301" s="2">
        <v>34.99</v>
      </c>
      <c r="J301">
        <v>2</v>
      </c>
      <c r="K301" s="2">
        <v>69.98</v>
      </c>
      <c r="L301" t="s">
        <v>17</v>
      </c>
      <c r="M301" t="s">
        <v>18</v>
      </c>
      <c r="N301">
        <v>9.9</v>
      </c>
    </row>
    <row r="302" spans="1:14">
      <c r="A302">
        <v>301</v>
      </c>
      <c r="B302" s="1">
        <v>44977</v>
      </c>
      <c r="C302">
        <v>170</v>
      </c>
      <c r="D302" t="s">
        <v>19</v>
      </c>
      <c r="E302">
        <v>39</v>
      </c>
      <c r="F302" t="str" cm="1">
        <f t="array" ref="F302">_xlfn.IFS(E302&lt;18, "0-17",
     E302&lt;25, "18-24",
     E302&lt;35, "25-34",
     E302&lt;45, "35-44",
     E302&lt;55, "45-54",
     E302&lt;65, "55-64",
     TRUE, "65+")</f>
        <v>35-44</v>
      </c>
      <c r="G302" t="s">
        <v>28</v>
      </c>
      <c r="H302" t="s">
        <v>43</v>
      </c>
      <c r="I302" s="2">
        <v>14.99</v>
      </c>
      <c r="J302">
        <v>2</v>
      </c>
      <c r="K302" s="2">
        <v>29.98</v>
      </c>
      <c r="L302" t="s">
        <v>17</v>
      </c>
      <c r="M302" t="s">
        <v>18</v>
      </c>
      <c r="N302">
        <v>9.1999999999999993</v>
      </c>
    </row>
    <row r="303" spans="1:14">
      <c r="A303">
        <v>302</v>
      </c>
      <c r="B303" s="1">
        <v>44979</v>
      </c>
      <c r="C303">
        <v>142</v>
      </c>
      <c r="D303" t="s">
        <v>14</v>
      </c>
      <c r="E303">
        <v>61</v>
      </c>
      <c r="F303" t="str" cm="1">
        <f t="array" ref="F303">_xlfn.IFS(E303&lt;18, "0-17",
     E303&lt;25, "18-24",
     E303&lt;35, "25-34",
     E303&lt;45, "35-44",
     E303&lt;55, "45-54",
     E303&lt;65, "55-64",
     TRUE, "65+")</f>
        <v>55-64</v>
      </c>
      <c r="G303" t="s">
        <v>20</v>
      </c>
      <c r="H303" t="s">
        <v>36</v>
      </c>
      <c r="I303" s="2">
        <v>79.989999999999995</v>
      </c>
      <c r="J303">
        <v>1</v>
      </c>
      <c r="K303" s="2">
        <v>79.989999999999995</v>
      </c>
      <c r="L303" t="s">
        <v>25</v>
      </c>
      <c r="M303" t="s">
        <v>18</v>
      </c>
      <c r="N303">
        <v>6.8</v>
      </c>
    </row>
    <row r="304" spans="1:14">
      <c r="A304">
        <v>303</v>
      </c>
      <c r="B304" s="1">
        <v>44982</v>
      </c>
      <c r="C304">
        <v>120</v>
      </c>
      <c r="D304" t="s">
        <v>19</v>
      </c>
      <c r="E304">
        <v>31</v>
      </c>
      <c r="F304" t="str" cm="1">
        <f t="array" ref="F304">_xlfn.IFS(E304&lt;18, "0-17",
     E304&lt;25, "18-24",
     E304&lt;35, "25-34",
     E304&lt;45, "35-44",
     E304&lt;55, "45-54",
     E304&lt;65, "55-64",
     TRUE, "65+")</f>
        <v>25-34</v>
      </c>
      <c r="G304" t="s">
        <v>15</v>
      </c>
      <c r="H304" t="s">
        <v>42</v>
      </c>
      <c r="I304" s="2">
        <v>219.99</v>
      </c>
      <c r="J304">
        <v>1</v>
      </c>
      <c r="K304" s="2">
        <v>219.99</v>
      </c>
      <c r="L304" t="s">
        <v>17</v>
      </c>
      <c r="M304" t="s">
        <v>26</v>
      </c>
      <c r="N304">
        <v>2.1</v>
      </c>
    </row>
    <row r="305" spans="1:14">
      <c r="A305">
        <v>304</v>
      </c>
      <c r="B305" s="1">
        <v>44984</v>
      </c>
      <c r="C305">
        <v>169</v>
      </c>
      <c r="D305" t="s">
        <v>14</v>
      </c>
      <c r="E305">
        <v>50</v>
      </c>
      <c r="F305" t="str" cm="1">
        <f t="array" ref="F305">_xlfn.IFS(E305&lt;18, "0-17",
     E305&lt;25, "18-24",
     E305&lt;35, "25-34",
     E305&lt;45, "35-44",
     E305&lt;55, "45-54",
     E305&lt;65, "55-64",
     TRUE, "65+")</f>
        <v>45-54</v>
      </c>
      <c r="G305" t="s">
        <v>23</v>
      </c>
      <c r="H305" t="s">
        <v>33</v>
      </c>
      <c r="I305" s="2">
        <v>44.99</v>
      </c>
      <c r="J305">
        <v>3</v>
      </c>
      <c r="K305" s="2">
        <v>134.97</v>
      </c>
      <c r="L305" t="s">
        <v>17</v>
      </c>
      <c r="M305" t="s">
        <v>18</v>
      </c>
      <c r="N305">
        <v>5.4</v>
      </c>
    </row>
    <row r="306" spans="1:14">
      <c r="A306">
        <v>305</v>
      </c>
      <c r="B306" s="1">
        <v>44987</v>
      </c>
      <c r="C306">
        <v>131</v>
      </c>
      <c r="D306" t="s">
        <v>19</v>
      </c>
      <c r="E306">
        <v>54</v>
      </c>
      <c r="F306" t="str" cm="1">
        <f t="array" ref="F306">_xlfn.IFS(E306&lt;18, "0-17",
     E306&lt;25, "18-24",
     E306&lt;35, "25-34",
     E306&lt;45, "35-44",
     E306&lt;55, "45-54",
     E306&lt;65, "55-64",
     TRUE, "65+")</f>
        <v>45-54</v>
      </c>
      <c r="G306" t="s">
        <v>28</v>
      </c>
      <c r="H306" t="s">
        <v>50</v>
      </c>
      <c r="I306" s="2">
        <v>51.99</v>
      </c>
      <c r="J306">
        <v>1</v>
      </c>
      <c r="K306" s="2">
        <v>51.99</v>
      </c>
      <c r="L306" t="s">
        <v>17</v>
      </c>
      <c r="M306" t="s">
        <v>18</v>
      </c>
      <c r="N306">
        <v>2.1</v>
      </c>
    </row>
    <row r="307" spans="1:14">
      <c r="A307">
        <v>306</v>
      </c>
      <c r="B307" s="1">
        <v>44990</v>
      </c>
      <c r="C307">
        <v>165</v>
      </c>
      <c r="D307" t="s">
        <v>14</v>
      </c>
      <c r="E307">
        <v>42</v>
      </c>
      <c r="F307" t="str" cm="1">
        <f t="array" ref="F307">_xlfn.IFS(E307&lt;18, "0-17",
     E307&lt;25, "18-24",
     E307&lt;35, "25-34",
     E307&lt;45, "35-44",
     E307&lt;55, "45-54",
     E307&lt;65, "55-64",
     TRUE, "65+")</f>
        <v>35-44</v>
      </c>
      <c r="G307" t="s">
        <v>20</v>
      </c>
      <c r="H307" t="s">
        <v>44</v>
      </c>
      <c r="I307" s="2">
        <v>10.99</v>
      </c>
      <c r="J307">
        <v>4</v>
      </c>
      <c r="K307" s="2">
        <v>43.96</v>
      </c>
      <c r="L307" t="s">
        <v>17</v>
      </c>
      <c r="M307" t="s">
        <v>18</v>
      </c>
      <c r="N307">
        <v>3.7</v>
      </c>
    </row>
    <row r="308" spans="1:14">
      <c r="A308">
        <v>307</v>
      </c>
      <c r="B308" s="1">
        <v>44993</v>
      </c>
      <c r="C308">
        <v>187</v>
      </c>
      <c r="D308" t="s">
        <v>19</v>
      </c>
      <c r="E308">
        <v>27</v>
      </c>
      <c r="F308" t="str" cm="1">
        <f t="array" ref="F308">_xlfn.IFS(E308&lt;18, "0-17",
     E308&lt;25, "18-24",
     E308&lt;35, "25-34",
     E308&lt;45, "35-44",
     E308&lt;55, "45-54",
     E308&lt;65, "55-64",
     TRUE, "65+")</f>
        <v>25-34</v>
      </c>
      <c r="G308" t="s">
        <v>15</v>
      </c>
      <c r="H308" t="s">
        <v>46</v>
      </c>
      <c r="I308" s="2">
        <v>89.99</v>
      </c>
      <c r="J308">
        <v>2</v>
      </c>
      <c r="K308" s="2">
        <v>179.98</v>
      </c>
      <c r="L308" t="s">
        <v>22</v>
      </c>
      <c r="M308" t="s">
        <v>18</v>
      </c>
      <c r="N308">
        <v>2.1</v>
      </c>
    </row>
    <row r="309" spans="1:14">
      <c r="A309">
        <v>308</v>
      </c>
      <c r="B309" s="1">
        <v>44995</v>
      </c>
      <c r="C309">
        <v>152</v>
      </c>
      <c r="D309" t="s">
        <v>14</v>
      </c>
      <c r="E309">
        <v>48</v>
      </c>
      <c r="F309" t="str" cm="1">
        <f t="array" ref="F309">_xlfn.IFS(E309&lt;18, "0-17",
     E309&lt;25, "18-24",
     E309&lt;35, "25-34",
     E309&lt;45, "35-44",
     E309&lt;55, "45-54",
     E309&lt;65, "55-64",
     TRUE, "65+")</f>
        <v>45-54</v>
      </c>
      <c r="G309" t="s">
        <v>23</v>
      </c>
      <c r="H309" t="s">
        <v>41</v>
      </c>
      <c r="I309" s="2">
        <v>129.99</v>
      </c>
      <c r="J309">
        <v>2</v>
      </c>
      <c r="K309" s="2">
        <v>259.98</v>
      </c>
      <c r="L309" t="s">
        <v>17</v>
      </c>
      <c r="M309" t="s">
        <v>26</v>
      </c>
      <c r="N309">
        <v>5.6</v>
      </c>
    </row>
    <row r="310" spans="1:14">
      <c r="A310">
        <v>309</v>
      </c>
      <c r="B310" s="1">
        <v>44997</v>
      </c>
      <c r="C310">
        <v>109</v>
      </c>
      <c r="D310" t="s">
        <v>19</v>
      </c>
      <c r="E310">
        <v>57</v>
      </c>
      <c r="F310" t="str" cm="1">
        <f t="array" ref="F310">_xlfn.IFS(E310&lt;18, "0-17",
     E310&lt;25, "18-24",
     E310&lt;35, "25-34",
     E310&lt;45, "35-44",
     E310&lt;55, "45-54",
     E310&lt;65, "55-64",
     TRUE, "65+")</f>
        <v>55-64</v>
      </c>
      <c r="G310" t="s">
        <v>28</v>
      </c>
      <c r="H310" t="s">
        <v>39</v>
      </c>
      <c r="I310" s="2">
        <v>7.99</v>
      </c>
      <c r="J310">
        <v>4</v>
      </c>
      <c r="K310" s="2">
        <v>31.96</v>
      </c>
      <c r="L310" t="s">
        <v>17</v>
      </c>
      <c r="M310" t="s">
        <v>18</v>
      </c>
      <c r="N310">
        <v>0.3</v>
      </c>
    </row>
    <row r="311" spans="1:14">
      <c r="A311">
        <v>310</v>
      </c>
      <c r="B311" s="1">
        <v>45000</v>
      </c>
      <c r="C311">
        <v>117</v>
      </c>
      <c r="D311" t="s">
        <v>14</v>
      </c>
      <c r="E311">
        <v>45</v>
      </c>
      <c r="F311" t="str" cm="1">
        <f t="array" ref="F311">_xlfn.IFS(E311&lt;18, "0-17",
     E311&lt;25, "18-24",
     E311&lt;35, "25-34",
     E311&lt;45, "35-44",
     E311&lt;55, "45-54",
     E311&lt;65, "55-64",
     TRUE, "65+")</f>
        <v>45-54</v>
      </c>
      <c r="G311" t="s">
        <v>20</v>
      </c>
      <c r="H311" t="s">
        <v>21</v>
      </c>
      <c r="I311" s="2">
        <v>49.99</v>
      </c>
      <c r="J311">
        <v>1</v>
      </c>
      <c r="K311" s="2">
        <v>49.99</v>
      </c>
      <c r="L311" t="s">
        <v>17</v>
      </c>
      <c r="M311" t="s">
        <v>18</v>
      </c>
      <c r="N311">
        <v>6.5</v>
      </c>
    </row>
    <row r="312" spans="1:14">
      <c r="A312">
        <v>311</v>
      </c>
      <c r="B312" s="1">
        <v>45003</v>
      </c>
      <c r="C312">
        <v>167</v>
      </c>
      <c r="D312" t="s">
        <v>19</v>
      </c>
      <c r="E312">
        <v>51</v>
      </c>
      <c r="F312" t="str" cm="1">
        <f t="array" ref="F312">_xlfn.IFS(E312&lt;18, "0-17",
     E312&lt;25, "18-24",
     E312&lt;35, "25-34",
     E312&lt;45, "35-44",
     E312&lt;55, "45-54",
     E312&lt;65, "55-64",
     TRUE, "65+")</f>
        <v>45-54</v>
      </c>
      <c r="G312" t="s">
        <v>15</v>
      </c>
      <c r="H312" t="s">
        <v>30</v>
      </c>
      <c r="I312" s="2">
        <v>12.99</v>
      </c>
      <c r="J312">
        <v>4</v>
      </c>
      <c r="K312" s="2">
        <v>51.96</v>
      </c>
      <c r="L312" t="s">
        <v>17</v>
      </c>
      <c r="M312" t="s">
        <v>18</v>
      </c>
      <c r="N312">
        <v>7.9</v>
      </c>
    </row>
    <row r="313" spans="1:14">
      <c r="A313">
        <v>312</v>
      </c>
      <c r="B313" s="1">
        <v>45005</v>
      </c>
      <c r="C313">
        <v>107</v>
      </c>
      <c r="D313" t="s">
        <v>14</v>
      </c>
      <c r="E313">
        <v>24</v>
      </c>
      <c r="F313" t="str" cm="1">
        <f t="array" ref="F313">_xlfn.IFS(E313&lt;18, "0-17",
     E313&lt;25, "18-24",
     E313&lt;35, "25-34",
     E313&lt;45, "35-44",
     E313&lt;55, "45-54",
     E313&lt;65, "55-64",
     TRUE, "65+")</f>
        <v>18-24</v>
      </c>
      <c r="G313" t="s">
        <v>23</v>
      </c>
      <c r="H313" t="s">
        <v>37</v>
      </c>
      <c r="I313" s="2">
        <v>24.99</v>
      </c>
      <c r="J313">
        <v>3</v>
      </c>
      <c r="K313" s="2">
        <v>74.97</v>
      </c>
      <c r="L313" t="s">
        <v>31</v>
      </c>
      <c r="M313" t="s">
        <v>18</v>
      </c>
      <c r="N313">
        <v>6</v>
      </c>
    </row>
    <row r="314" spans="1:14">
      <c r="A314">
        <v>313</v>
      </c>
      <c r="B314" s="1">
        <v>45007</v>
      </c>
      <c r="C314">
        <v>136</v>
      </c>
      <c r="D314" t="s">
        <v>19</v>
      </c>
      <c r="E314">
        <v>48</v>
      </c>
      <c r="F314" t="str" cm="1">
        <f t="array" ref="F314">_xlfn.IFS(E314&lt;18, "0-17",
     E314&lt;25, "18-24",
     E314&lt;35, "25-34",
     E314&lt;45, "35-44",
     E314&lt;55, "45-54",
     E314&lt;65, "55-64",
     TRUE, "65+")</f>
        <v>45-54</v>
      </c>
      <c r="G314" t="s">
        <v>28</v>
      </c>
      <c r="H314" t="s">
        <v>29</v>
      </c>
      <c r="I314" s="2">
        <v>44.99</v>
      </c>
      <c r="J314">
        <v>2</v>
      </c>
      <c r="K314" s="2">
        <v>89.98</v>
      </c>
      <c r="L314" t="s">
        <v>17</v>
      </c>
      <c r="M314" t="s">
        <v>26</v>
      </c>
      <c r="N314">
        <v>4.5999999999999996</v>
      </c>
    </row>
    <row r="315" spans="1:14">
      <c r="A315">
        <v>314</v>
      </c>
      <c r="B315" s="1">
        <v>45010</v>
      </c>
      <c r="C315">
        <v>135</v>
      </c>
      <c r="D315" t="s">
        <v>14</v>
      </c>
      <c r="E315">
        <v>33</v>
      </c>
      <c r="F315" t="str" cm="1">
        <f t="array" ref="F315">_xlfn.IFS(E315&lt;18, "0-17",
     E315&lt;25, "18-24",
     E315&lt;35, "25-34",
     E315&lt;45, "35-44",
     E315&lt;55, "45-54",
     E315&lt;65, "55-64",
     TRUE, "65+")</f>
        <v>25-34</v>
      </c>
      <c r="G315" t="s">
        <v>20</v>
      </c>
      <c r="H315" t="s">
        <v>32</v>
      </c>
      <c r="I315" s="2">
        <v>59.99</v>
      </c>
      <c r="J315">
        <v>2</v>
      </c>
      <c r="K315" s="2">
        <v>119.98</v>
      </c>
      <c r="L315" t="s">
        <v>17</v>
      </c>
      <c r="M315" t="s">
        <v>18</v>
      </c>
      <c r="N315">
        <v>8</v>
      </c>
    </row>
    <row r="316" spans="1:14">
      <c r="A316">
        <v>315</v>
      </c>
      <c r="B316" s="1">
        <v>45013</v>
      </c>
      <c r="C316">
        <v>144</v>
      </c>
      <c r="D316" t="s">
        <v>19</v>
      </c>
      <c r="E316">
        <v>26</v>
      </c>
      <c r="F316" t="str" cm="1">
        <f t="array" ref="F316">_xlfn.IFS(E316&lt;18, "0-17",
     E316&lt;25, "18-24",
     E316&lt;35, "25-34",
     E316&lt;45, "35-44",
     E316&lt;55, "45-54",
     E316&lt;65, "55-64",
     TRUE, "65+")</f>
        <v>25-34</v>
      </c>
      <c r="G316" t="s">
        <v>15</v>
      </c>
      <c r="H316" t="s">
        <v>38</v>
      </c>
      <c r="I316" s="2">
        <v>99.99</v>
      </c>
      <c r="J316">
        <v>1</v>
      </c>
      <c r="K316" s="2">
        <v>99.99</v>
      </c>
      <c r="L316" t="s">
        <v>17</v>
      </c>
      <c r="M316" t="s">
        <v>18</v>
      </c>
      <c r="N316">
        <v>4.9000000000000004</v>
      </c>
    </row>
    <row r="317" spans="1:14">
      <c r="A317">
        <v>316</v>
      </c>
      <c r="B317" s="1">
        <v>45015</v>
      </c>
      <c r="C317">
        <v>173</v>
      </c>
      <c r="D317" t="s">
        <v>14</v>
      </c>
      <c r="E317">
        <v>55</v>
      </c>
      <c r="F317" t="str" cm="1">
        <f t="array" ref="F317">_xlfn.IFS(E317&lt;18, "0-17",
     E317&lt;25, "18-24",
     E317&lt;35, "25-34",
     E317&lt;45, "35-44",
     E317&lt;55, "45-54",
     E317&lt;65, "55-64",
     TRUE, "65+")</f>
        <v>55-64</v>
      </c>
      <c r="G317" t="s">
        <v>23</v>
      </c>
      <c r="H317" t="s">
        <v>45</v>
      </c>
      <c r="I317" s="2">
        <v>65.989999999999995</v>
      </c>
      <c r="J317">
        <v>1</v>
      </c>
      <c r="K317" s="2">
        <v>65.989999999999995</v>
      </c>
      <c r="L317" t="s">
        <v>17</v>
      </c>
      <c r="M317" t="s">
        <v>18</v>
      </c>
      <c r="N317">
        <v>6.9</v>
      </c>
    </row>
    <row r="318" spans="1:14">
      <c r="A318">
        <v>317</v>
      </c>
      <c r="B318" s="1">
        <v>45018</v>
      </c>
      <c r="C318">
        <v>115</v>
      </c>
      <c r="D318" t="s">
        <v>19</v>
      </c>
      <c r="E318">
        <v>62</v>
      </c>
      <c r="F318" t="str" cm="1">
        <f t="array" ref="F318">_xlfn.IFS(E318&lt;18, "0-17",
     E318&lt;25, "18-24",
     E318&lt;35, "25-34",
     E318&lt;45, "35-44",
     E318&lt;55, "45-54",
     E318&lt;65, "55-64",
     TRUE, "65+")</f>
        <v>55-64</v>
      </c>
      <c r="G318" t="s">
        <v>28</v>
      </c>
      <c r="H318" t="s">
        <v>35</v>
      </c>
      <c r="I318" s="2">
        <v>17.989999999999998</v>
      </c>
      <c r="J318">
        <v>2</v>
      </c>
      <c r="K318" s="2">
        <v>35.979999999999997</v>
      </c>
      <c r="L318" t="s">
        <v>22</v>
      </c>
      <c r="M318" t="s">
        <v>18</v>
      </c>
      <c r="N318">
        <v>0.1</v>
      </c>
    </row>
    <row r="319" spans="1:14">
      <c r="A319">
        <v>318</v>
      </c>
      <c r="B319" s="1">
        <v>45021</v>
      </c>
      <c r="C319">
        <v>124</v>
      </c>
      <c r="D319" t="s">
        <v>14</v>
      </c>
      <c r="E319">
        <v>39</v>
      </c>
      <c r="F319" t="str" cm="1">
        <f t="array" ref="F319">_xlfn.IFS(E319&lt;18, "0-17",
     E319&lt;25, "18-24",
     E319&lt;35, "25-34",
     E319&lt;45, "35-44",
     E319&lt;55, "45-54",
     E319&lt;65, "55-64",
     TRUE, "65+")</f>
        <v>35-44</v>
      </c>
      <c r="G319" t="s">
        <v>20</v>
      </c>
      <c r="H319" t="s">
        <v>47</v>
      </c>
      <c r="I319" s="2">
        <v>18.989999999999998</v>
      </c>
      <c r="J319">
        <v>2</v>
      </c>
      <c r="K319" s="2">
        <v>37.979999999999997</v>
      </c>
      <c r="L319" t="s">
        <v>17</v>
      </c>
      <c r="M319" t="s">
        <v>26</v>
      </c>
      <c r="N319">
        <v>8</v>
      </c>
    </row>
    <row r="320" spans="1:14">
      <c r="A320">
        <v>319</v>
      </c>
      <c r="B320" s="1">
        <v>45024</v>
      </c>
      <c r="C320">
        <v>114</v>
      </c>
      <c r="D320" t="s">
        <v>19</v>
      </c>
      <c r="E320">
        <v>43</v>
      </c>
      <c r="F320" t="str" cm="1">
        <f t="array" ref="F320">_xlfn.IFS(E320&lt;18, "0-17",
     E320&lt;25, "18-24",
     E320&lt;35, "25-34",
     E320&lt;45, "35-44",
     E320&lt;55, "45-54",
     E320&lt;65, "55-64",
     TRUE, "65+")</f>
        <v>35-44</v>
      </c>
      <c r="G320" t="s">
        <v>15</v>
      </c>
      <c r="H320" t="s">
        <v>16</v>
      </c>
      <c r="I320" s="2">
        <v>54.99</v>
      </c>
      <c r="J320">
        <v>2</v>
      </c>
      <c r="K320" s="2">
        <v>109.98</v>
      </c>
      <c r="L320" t="s">
        <v>17</v>
      </c>
      <c r="M320" t="s">
        <v>18</v>
      </c>
      <c r="N320">
        <v>1.9</v>
      </c>
    </row>
    <row r="321" spans="1:14">
      <c r="A321">
        <v>320</v>
      </c>
      <c r="B321" s="1">
        <v>45026</v>
      </c>
      <c r="C321">
        <v>187</v>
      </c>
      <c r="D321" t="s">
        <v>14</v>
      </c>
      <c r="E321">
        <v>30</v>
      </c>
      <c r="F321" t="str" cm="1">
        <f t="array" ref="F321">_xlfn.IFS(E321&lt;18, "0-17",
     E321&lt;25, "18-24",
     E321&lt;35, "25-34",
     E321&lt;45, "35-44",
     E321&lt;55, "45-54",
     E321&lt;65, "55-64",
     TRUE, "65+")</f>
        <v>25-34</v>
      </c>
      <c r="G321" t="s">
        <v>23</v>
      </c>
      <c r="H321" t="s">
        <v>49</v>
      </c>
      <c r="I321" s="2">
        <v>27.99</v>
      </c>
      <c r="J321">
        <v>3</v>
      </c>
      <c r="K321" s="2">
        <v>83.97</v>
      </c>
      <c r="L321" t="s">
        <v>17</v>
      </c>
      <c r="M321" t="s">
        <v>18</v>
      </c>
      <c r="N321">
        <v>2.1</v>
      </c>
    </row>
    <row r="322" spans="1:14">
      <c r="A322">
        <v>321</v>
      </c>
      <c r="B322" s="1">
        <v>45028</v>
      </c>
      <c r="C322">
        <v>158</v>
      </c>
      <c r="D322" t="s">
        <v>19</v>
      </c>
      <c r="E322">
        <v>65</v>
      </c>
      <c r="F322" t="str" cm="1">
        <f t="array" ref="F322">_xlfn.IFS(E322&lt;18, "0-17",
     E322&lt;25, "18-24",
     E322&lt;35, "25-34",
     E322&lt;45, "35-44",
     E322&lt;55, "45-54",
     E322&lt;65, "55-64",
     TRUE, "65+")</f>
        <v>65+</v>
      </c>
      <c r="G322" t="s">
        <v>28</v>
      </c>
      <c r="H322" t="s">
        <v>43</v>
      </c>
      <c r="I322" s="2">
        <v>13.99</v>
      </c>
      <c r="J322">
        <v>4</v>
      </c>
      <c r="K322" s="2">
        <v>55.96</v>
      </c>
      <c r="L322" t="s">
        <v>17</v>
      </c>
      <c r="M322" t="s">
        <v>18</v>
      </c>
      <c r="N322">
        <v>2.2000000000000002</v>
      </c>
    </row>
    <row r="323" spans="1:14">
      <c r="A323">
        <v>322</v>
      </c>
      <c r="B323" s="1">
        <v>45031</v>
      </c>
      <c r="C323">
        <v>152</v>
      </c>
      <c r="D323" t="s">
        <v>14</v>
      </c>
      <c r="E323">
        <v>53</v>
      </c>
      <c r="F323" t="str" cm="1">
        <f t="array" ref="F323">_xlfn.IFS(E323&lt;18, "0-17",
     E323&lt;25, "18-24",
     E323&lt;35, "25-34",
     E323&lt;45, "35-44",
     E323&lt;55, "45-54",
     E323&lt;65, "55-64",
     TRUE, "65+")</f>
        <v>45-54</v>
      </c>
      <c r="G323" t="s">
        <v>20</v>
      </c>
      <c r="H323" t="s">
        <v>44</v>
      </c>
      <c r="I323" s="2">
        <v>11.99</v>
      </c>
      <c r="J323">
        <v>5</v>
      </c>
      <c r="K323" s="2">
        <v>59.95</v>
      </c>
      <c r="L323" t="s">
        <v>17</v>
      </c>
      <c r="M323" t="s">
        <v>18</v>
      </c>
      <c r="N323">
        <v>5.6</v>
      </c>
    </row>
    <row r="324" spans="1:14">
      <c r="A324">
        <v>323</v>
      </c>
      <c r="B324" s="1">
        <v>45034</v>
      </c>
      <c r="C324">
        <v>144</v>
      </c>
      <c r="D324" t="s">
        <v>19</v>
      </c>
      <c r="E324">
        <v>36</v>
      </c>
      <c r="F324" t="str" cm="1">
        <f t="array" ref="F324">_xlfn.IFS(E324&lt;18, "0-17",
     E324&lt;25, "18-24",
     E324&lt;35, "25-34",
     E324&lt;45, "35-44",
     E324&lt;55, "45-54",
     E324&lt;65, "55-64",
     TRUE, "65+")</f>
        <v>35-44</v>
      </c>
      <c r="G324" t="s">
        <v>15</v>
      </c>
      <c r="H324" t="s">
        <v>34</v>
      </c>
      <c r="I324" s="2">
        <v>18.989999999999998</v>
      </c>
      <c r="J324">
        <v>2</v>
      </c>
      <c r="K324" s="2">
        <v>37.979999999999997</v>
      </c>
      <c r="L324" t="s">
        <v>25</v>
      </c>
      <c r="M324" t="s">
        <v>18</v>
      </c>
      <c r="N324">
        <v>4.9000000000000004</v>
      </c>
    </row>
    <row r="325" spans="1:14">
      <c r="A325">
        <v>324</v>
      </c>
      <c r="B325" s="1">
        <v>45036</v>
      </c>
      <c r="C325">
        <v>112</v>
      </c>
      <c r="D325" t="s">
        <v>14</v>
      </c>
      <c r="E325">
        <v>47</v>
      </c>
      <c r="F325" t="str" cm="1">
        <f t="array" ref="F325">_xlfn.IFS(E325&lt;18, "0-17",
     E325&lt;25, "18-24",
     E325&lt;35, "25-34",
     E325&lt;45, "35-44",
     E325&lt;55, "45-54",
     E325&lt;65, "55-64",
     TRUE, "65+")</f>
        <v>45-54</v>
      </c>
      <c r="G325" t="s">
        <v>23</v>
      </c>
      <c r="H325" t="s">
        <v>33</v>
      </c>
      <c r="I325" s="2">
        <v>39.99</v>
      </c>
      <c r="J325">
        <v>3</v>
      </c>
      <c r="K325" s="2">
        <v>119.97</v>
      </c>
      <c r="L325" t="s">
        <v>17</v>
      </c>
      <c r="M325" t="s">
        <v>26</v>
      </c>
      <c r="N325">
        <v>8.6999999999999993</v>
      </c>
    </row>
    <row r="326" spans="1:14">
      <c r="A326">
        <v>325</v>
      </c>
      <c r="B326" s="1">
        <v>45038</v>
      </c>
      <c r="C326">
        <v>157</v>
      </c>
      <c r="D326" t="s">
        <v>19</v>
      </c>
      <c r="E326">
        <v>54</v>
      </c>
      <c r="F326" t="str" cm="1">
        <f t="array" ref="F326">_xlfn.IFS(E326&lt;18, "0-17",
     E326&lt;25, "18-24",
     E326&lt;35, "25-34",
     E326&lt;45, "35-44",
     E326&lt;55, "45-54",
     E326&lt;65, "55-64",
     TRUE, "65+")</f>
        <v>45-54</v>
      </c>
      <c r="G326" t="s">
        <v>28</v>
      </c>
      <c r="H326" t="s">
        <v>50</v>
      </c>
      <c r="I326" s="2">
        <v>49.99</v>
      </c>
      <c r="J326">
        <v>2</v>
      </c>
      <c r="K326" s="2">
        <v>99.98</v>
      </c>
      <c r="L326" t="s">
        <v>17</v>
      </c>
      <c r="M326" t="s">
        <v>18</v>
      </c>
      <c r="N326">
        <v>3.3</v>
      </c>
    </row>
    <row r="327" spans="1:14">
      <c r="A327">
        <v>326</v>
      </c>
      <c r="B327" s="1">
        <v>45041</v>
      </c>
      <c r="C327">
        <v>199</v>
      </c>
      <c r="D327" t="s">
        <v>14</v>
      </c>
      <c r="E327">
        <v>42</v>
      </c>
      <c r="F327" t="str" cm="1">
        <f t="array" ref="F327">_xlfn.IFS(E327&lt;18, "0-17",
     E327&lt;25, "18-24",
     E327&lt;35, "25-34",
     E327&lt;45, "35-44",
     E327&lt;55, "45-54",
     E327&lt;65, "55-64",
     TRUE, "65+")</f>
        <v>35-44</v>
      </c>
      <c r="G327" t="s">
        <v>20</v>
      </c>
      <c r="H327" t="s">
        <v>40</v>
      </c>
      <c r="I327" s="2">
        <v>95.99</v>
      </c>
      <c r="J327">
        <v>1</v>
      </c>
      <c r="K327" s="2">
        <v>95.99</v>
      </c>
      <c r="L327" t="s">
        <v>17</v>
      </c>
      <c r="M327" t="s">
        <v>18</v>
      </c>
      <c r="N327">
        <v>1.9</v>
      </c>
    </row>
    <row r="328" spans="1:14">
      <c r="A328">
        <v>327</v>
      </c>
      <c r="B328" s="1">
        <v>45044</v>
      </c>
      <c r="C328">
        <v>113</v>
      </c>
      <c r="D328" t="s">
        <v>19</v>
      </c>
      <c r="E328">
        <v>29</v>
      </c>
      <c r="F328" t="str" cm="1">
        <f t="array" ref="F328">_xlfn.IFS(E328&lt;18, "0-17",
     E328&lt;25, "18-24",
     E328&lt;35, "25-34",
     E328&lt;45, "35-44",
     E328&lt;55, "45-54",
     E328&lt;65, "55-64",
     TRUE, "65+")</f>
        <v>25-34</v>
      </c>
      <c r="G328" t="s">
        <v>15</v>
      </c>
      <c r="H328" t="s">
        <v>42</v>
      </c>
      <c r="I328" s="2">
        <v>199.99</v>
      </c>
      <c r="J328">
        <v>1</v>
      </c>
      <c r="K328" s="2">
        <v>199.99</v>
      </c>
      <c r="L328" t="s">
        <v>17</v>
      </c>
      <c r="M328" t="s">
        <v>18</v>
      </c>
      <c r="N328">
        <v>0.5</v>
      </c>
    </row>
    <row r="329" spans="1:14">
      <c r="A329">
        <v>328</v>
      </c>
      <c r="B329" s="1">
        <v>45046</v>
      </c>
      <c r="C329">
        <v>135</v>
      </c>
      <c r="D329" t="s">
        <v>14</v>
      </c>
      <c r="E329">
        <v>59</v>
      </c>
      <c r="F329" t="str" cm="1">
        <f t="array" ref="F329">_xlfn.IFS(E329&lt;18, "0-17",
     E329&lt;25, "18-24",
     E329&lt;35, "25-34",
     E329&lt;45, "35-44",
     E329&lt;55, "45-54",
     E329&lt;65, "55-64",
     TRUE, "65+")</f>
        <v>55-64</v>
      </c>
      <c r="G329" t="s">
        <v>23</v>
      </c>
      <c r="H329" t="s">
        <v>24</v>
      </c>
      <c r="I329" s="2">
        <v>31.99</v>
      </c>
      <c r="J329">
        <v>3</v>
      </c>
      <c r="K329" s="2">
        <v>95.97</v>
      </c>
      <c r="L329" t="s">
        <v>22</v>
      </c>
      <c r="M329" t="s">
        <v>18</v>
      </c>
      <c r="N329">
        <v>8</v>
      </c>
    </row>
    <row r="330" spans="1:14">
      <c r="A330">
        <v>329</v>
      </c>
      <c r="B330" s="1">
        <v>45049</v>
      </c>
      <c r="C330">
        <v>151</v>
      </c>
      <c r="D330" t="s">
        <v>19</v>
      </c>
      <c r="E330">
        <v>45</v>
      </c>
      <c r="F330" t="str" cm="1">
        <f t="array" ref="F330">_xlfn.IFS(E330&lt;18, "0-17",
     E330&lt;25, "18-24",
     E330&lt;35, "25-34",
     E330&lt;45, "35-44",
     E330&lt;55, "45-54",
     E330&lt;65, "55-64",
     TRUE, "65+")</f>
        <v>45-54</v>
      </c>
      <c r="G330" t="s">
        <v>28</v>
      </c>
      <c r="H330" t="s">
        <v>39</v>
      </c>
      <c r="I330" s="2">
        <v>9.99</v>
      </c>
      <c r="J330">
        <v>3</v>
      </c>
      <c r="K330" s="2">
        <v>29.97</v>
      </c>
      <c r="L330" t="s">
        <v>17</v>
      </c>
      <c r="M330" t="s">
        <v>26</v>
      </c>
      <c r="N330">
        <v>1.6</v>
      </c>
    </row>
    <row r="331" spans="1:14">
      <c r="A331">
        <v>330</v>
      </c>
      <c r="B331" s="1">
        <v>45052</v>
      </c>
      <c r="C331">
        <v>132</v>
      </c>
      <c r="D331" t="s">
        <v>14</v>
      </c>
      <c r="E331">
        <v>38</v>
      </c>
      <c r="F331" t="str" cm="1">
        <f t="array" ref="F331">_xlfn.IFS(E331&lt;18, "0-17",
     E331&lt;25, "18-24",
     E331&lt;35, "25-34",
     E331&lt;45, "35-44",
     E331&lt;55, "45-54",
     E331&lt;65, "55-64",
     TRUE, "65+")</f>
        <v>35-44</v>
      </c>
      <c r="G331" t="s">
        <v>20</v>
      </c>
      <c r="H331" t="s">
        <v>32</v>
      </c>
      <c r="I331" s="2">
        <v>64.989999999999995</v>
      </c>
      <c r="J331">
        <v>1</v>
      </c>
      <c r="K331" s="2">
        <v>64.989999999999995</v>
      </c>
      <c r="L331" t="s">
        <v>17</v>
      </c>
      <c r="M331" t="s">
        <v>18</v>
      </c>
      <c r="N331">
        <v>9.4</v>
      </c>
    </row>
    <row r="332" spans="1:14">
      <c r="A332">
        <v>331</v>
      </c>
      <c r="B332" s="1">
        <v>45054</v>
      </c>
      <c r="C332">
        <v>109</v>
      </c>
      <c r="D332" t="s">
        <v>19</v>
      </c>
      <c r="E332">
        <v>51</v>
      </c>
      <c r="F332" t="str" cm="1">
        <f t="array" ref="F332">_xlfn.IFS(E332&lt;18, "0-17",
     E332&lt;25, "18-24",
     E332&lt;35, "25-34",
     E332&lt;45, "35-44",
     E332&lt;55, "45-54",
     E332&lt;65, "55-64",
     TRUE, "65+")</f>
        <v>45-54</v>
      </c>
      <c r="G332" t="s">
        <v>15</v>
      </c>
      <c r="H332" t="s">
        <v>46</v>
      </c>
      <c r="I332" s="2">
        <v>89.99</v>
      </c>
      <c r="J332">
        <v>2</v>
      </c>
      <c r="K332" s="2">
        <v>179.98</v>
      </c>
      <c r="L332" t="s">
        <v>17</v>
      </c>
      <c r="M332" t="s">
        <v>18</v>
      </c>
      <c r="N332">
        <v>0.3</v>
      </c>
    </row>
    <row r="333" spans="1:14">
      <c r="A333">
        <v>332</v>
      </c>
      <c r="B333" s="1">
        <v>45056</v>
      </c>
      <c r="C333">
        <v>133</v>
      </c>
      <c r="D333" t="s">
        <v>14</v>
      </c>
      <c r="E333">
        <v>31</v>
      </c>
      <c r="F333" t="str" cm="1">
        <f t="array" ref="F333">_xlfn.IFS(E333&lt;18, "0-17",
     E333&lt;25, "18-24",
     E333&lt;35, "25-34",
     E333&lt;45, "35-44",
     E333&lt;55, "45-54",
     E333&lt;65, "55-64",
     TRUE, "65+")</f>
        <v>25-34</v>
      </c>
      <c r="G333" t="s">
        <v>23</v>
      </c>
      <c r="H333" t="s">
        <v>37</v>
      </c>
      <c r="I333" s="2">
        <v>21.99</v>
      </c>
      <c r="J333">
        <v>4</v>
      </c>
      <c r="K333" s="2">
        <v>87.96</v>
      </c>
      <c r="L333" t="s">
        <v>17</v>
      </c>
      <c r="M333" t="s">
        <v>18</v>
      </c>
      <c r="N333">
        <v>5.3</v>
      </c>
    </row>
    <row r="334" spans="1:14">
      <c r="A334">
        <v>333</v>
      </c>
      <c r="B334" s="1">
        <v>45059</v>
      </c>
      <c r="C334">
        <v>197</v>
      </c>
      <c r="D334" t="s">
        <v>19</v>
      </c>
      <c r="E334">
        <v>28</v>
      </c>
      <c r="F334" t="str" cm="1">
        <f t="array" ref="F334">_xlfn.IFS(E334&lt;18, "0-17",
     E334&lt;25, "18-24",
     E334&lt;35, "25-34",
     E334&lt;45, "35-44",
     E334&lt;55, "45-54",
     E334&lt;65, "55-64",
     TRUE, "65+")</f>
        <v>25-34</v>
      </c>
      <c r="G334" t="s">
        <v>28</v>
      </c>
      <c r="H334" t="s">
        <v>29</v>
      </c>
      <c r="I334" s="2">
        <v>38.99</v>
      </c>
      <c r="J334">
        <v>2</v>
      </c>
      <c r="K334" s="2">
        <v>77.98</v>
      </c>
      <c r="L334" t="s">
        <v>17</v>
      </c>
      <c r="M334" t="s">
        <v>18</v>
      </c>
      <c r="N334">
        <v>8.6</v>
      </c>
    </row>
    <row r="335" spans="1:14">
      <c r="A335">
        <v>334</v>
      </c>
      <c r="B335" s="1">
        <v>45061</v>
      </c>
      <c r="C335">
        <v>106</v>
      </c>
      <c r="D335" t="s">
        <v>14</v>
      </c>
      <c r="E335">
        <v>61</v>
      </c>
      <c r="F335" t="str" cm="1">
        <f t="array" ref="F335">_xlfn.IFS(E335&lt;18, "0-17",
     E335&lt;25, "18-24",
     E335&lt;35, "25-34",
     E335&lt;45, "35-44",
     E335&lt;55, "45-54",
     E335&lt;65, "55-64",
     TRUE, "65+")</f>
        <v>55-64</v>
      </c>
      <c r="G335" t="s">
        <v>20</v>
      </c>
      <c r="H335" t="s">
        <v>36</v>
      </c>
      <c r="I335" s="2">
        <v>84.99</v>
      </c>
      <c r="J335">
        <v>1</v>
      </c>
      <c r="K335" s="2">
        <v>84.99</v>
      </c>
      <c r="L335" t="s">
        <v>31</v>
      </c>
      <c r="M335" t="s">
        <v>18</v>
      </c>
      <c r="N335">
        <v>5.9</v>
      </c>
    </row>
    <row r="336" spans="1:14">
      <c r="A336">
        <v>335</v>
      </c>
      <c r="B336" s="1">
        <v>45064</v>
      </c>
      <c r="C336">
        <v>186</v>
      </c>
      <c r="D336" t="s">
        <v>19</v>
      </c>
      <c r="E336">
        <v>43</v>
      </c>
      <c r="F336" t="str" cm="1">
        <f t="array" ref="F336">_xlfn.IFS(E336&lt;18, "0-17",
     E336&lt;25, "18-24",
     E336&lt;35, "25-34",
     E336&lt;45, "35-44",
     E336&lt;55, "45-54",
     E336&lt;65, "55-64",
     TRUE, "65+")</f>
        <v>35-44</v>
      </c>
      <c r="G336" t="s">
        <v>15</v>
      </c>
      <c r="H336" t="s">
        <v>48</v>
      </c>
      <c r="I336" s="2">
        <v>29.99</v>
      </c>
      <c r="J336">
        <v>1</v>
      </c>
      <c r="K336" s="2">
        <v>29.99</v>
      </c>
      <c r="L336" t="s">
        <v>17</v>
      </c>
      <c r="M336" t="s">
        <v>26</v>
      </c>
      <c r="N336">
        <v>6.6</v>
      </c>
    </row>
    <row r="337" spans="1:14">
      <c r="A337">
        <v>336</v>
      </c>
      <c r="B337" s="1">
        <v>45066</v>
      </c>
      <c r="C337">
        <v>196</v>
      </c>
      <c r="D337" t="s">
        <v>14</v>
      </c>
      <c r="E337">
        <v>34</v>
      </c>
      <c r="F337" t="str" cm="1">
        <f t="array" ref="F337">_xlfn.IFS(E337&lt;18, "0-17",
     E337&lt;25, "18-24",
     E337&lt;35, "25-34",
     E337&lt;45, "35-44",
     E337&lt;55, "45-54",
     E337&lt;65, "55-64",
     TRUE, "65+")</f>
        <v>25-34</v>
      </c>
      <c r="G337" t="s">
        <v>23</v>
      </c>
      <c r="H337" t="s">
        <v>45</v>
      </c>
      <c r="I337" s="2">
        <v>59.99</v>
      </c>
      <c r="J337">
        <v>2</v>
      </c>
      <c r="K337" s="2">
        <v>119.98</v>
      </c>
      <c r="L337" t="s">
        <v>17</v>
      </c>
      <c r="M337" t="s">
        <v>18</v>
      </c>
      <c r="N337">
        <v>2.2000000000000002</v>
      </c>
    </row>
    <row r="338" spans="1:14">
      <c r="A338">
        <v>337</v>
      </c>
      <c r="B338" s="1">
        <v>45068</v>
      </c>
      <c r="C338">
        <v>111</v>
      </c>
      <c r="D338" t="s">
        <v>19</v>
      </c>
      <c r="E338">
        <v>56</v>
      </c>
      <c r="F338" t="str" cm="1">
        <f t="array" ref="F338">_xlfn.IFS(E338&lt;18, "0-17",
     E338&lt;25, "18-24",
     E338&lt;35, "25-34",
     E338&lt;45, "35-44",
     E338&lt;55, "45-54",
     E338&lt;65, "55-64",
     TRUE, "65+")</f>
        <v>55-64</v>
      </c>
      <c r="G338" t="s">
        <v>28</v>
      </c>
      <c r="H338" t="s">
        <v>35</v>
      </c>
      <c r="I338" s="2">
        <v>16.989999999999998</v>
      </c>
      <c r="J338">
        <v>3</v>
      </c>
      <c r="K338" s="2">
        <v>50.97</v>
      </c>
      <c r="L338" t="s">
        <v>17</v>
      </c>
      <c r="M338" t="s">
        <v>18</v>
      </c>
      <c r="N338">
        <v>1.9</v>
      </c>
    </row>
    <row r="339" spans="1:14">
      <c r="A339">
        <v>338</v>
      </c>
      <c r="B339" s="1">
        <v>45071</v>
      </c>
      <c r="C339">
        <v>166</v>
      </c>
      <c r="D339" t="s">
        <v>14</v>
      </c>
      <c r="E339">
        <v>45</v>
      </c>
      <c r="F339" t="str" cm="1">
        <f t="array" ref="F339">_xlfn.IFS(E339&lt;18, "0-17",
     E339&lt;25, "18-24",
     E339&lt;35, "25-34",
     E339&lt;45, "35-44",
     E339&lt;55, "45-54",
     E339&lt;65, "55-64",
     TRUE, "65+")</f>
        <v>45-54</v>
      </c>
      <c r="G339" t="s">
        <v>20</v>
      </c>
      <c r="H339" t="s">
        <v>21</v>
      </c>
      <c r="I339" s="2">
        <v>39.99</v>
      </c>
      <c r="J339">
        <v>3</v>
      </c>
      <c r="K339" s="2">
        <v>119.97</v>
      </c>
      <c r="L339" t="s">
        <v>17</v>
      </c>
      <c r="M339" t="s">
        <v>18</v>
      </c>
      <c r="N339">
        <v>4.9000000000000004</v>
      </c>
    </row>
    <row r="340" spans="1:14">
      <c r="A340">
        <v>339</v>
      </c>
      <c r="B340" s="1">
        <v>45074</v>
      </c>
      <c r="C340">
        <v>126</v>
      </c>
      <c r="D340" t="s">
        <v>19</v>
      </c>
      <c r="E340">
        <v>25</v>
      </c>
      <c r="F340" t="str" cm="1">
        <f t="array" ref="F340">_xlfn.IFS(E340&lt;18, "0-17",
     E340&lt;25, "18-24",
     E340&lt;35, "25-34",
     E340&lt;45, "35-44",
     E340&lt;55, "45-54",
     E340&lt;65, "55-64",
     TRUE, "65+")</f>
        <v>25-34</v>
      </c>
      <c r="G340" t="s">
        <v>15</v>
      </c>
      <c r="H340" t="s">
        <v>38</v>
      </c>
      <c r="I340" s="2">
        <v>89.99</v>
      </c>
      <c r="J340">
        <v>1</v>
      </c>
      <c r="K340" s="2">
        <v>89.99</v>
      </c>
      <c r="L340" t="s">
        <v>22</v>
      </c>
      <c r="M340" t="s">
        <v>18</v>
      </c>
      <c r="N340">
        <v>3.1</v>
      </c>
    </row>
    <row r="341" spans="1:14">
      <c r="A341">
        <v>340</v>
      </c>
      <c r="B341" s="1">
        <v>45076</v>
      </c>
      <c r="C341">
        <v>168</v>
      </c>
      <c r="D341" t="s">
        <v>14</v>
      </c>
      <c r="E341">
        <v>52</v>
      </c>
      <c r="F341" t="str" cm="1">
        <f t="array" ref="F341">_xlfn.IFS(E341&lt;18, "0-17",
     E341&lt;25, "18-24",
     E341&lt;35, "25-34",
     E341&lt;45, "35-44",
     E341&lt;55, "45-54",
     E341&lt;65, "55-64",
     TRUE, "65+")</f>
        <v>45-54</v>
      </c>
      <c r="G341" t="s">
        <v>23</v>
      </c>
      <c r="H341" t="s">
        <v>49</v>
      </c>
      <c r="I341" s="2">
        <v>29.99</v>
      </c>
      <c r="J341">
        <v>2</v>
      </c>
      <c r="K341" s="2">
        <v>59.98</v>
      </c>
      <c r="L341" t="s">
        <v>17</v>
      </c>
      <c r="M341" t="s">
        <v>26</v>
      </c>
      <c r="N341">
        <v>3.1</v>
      </c>
    </row>
    <row r="342" spans="1:14">
      <c r="A342">
        <v>341</v>
      </c>
      <c r="B342" s="1">
        <v>45079</v>
      </c>
      <c r="C342">
        <v>180</v>
      </c>
      <c r="D342" t="s">
        <v>19</v>
      </c>
      <c r="E342">
        <v>59</v>
      </c>
      <c r="F342" t="str" cm="1">
        <f t="array" ref="F342">_xlfn.IFS(E342&lt;18, "0-17",
     E342&lt;25, "18-24",
     E342&lt;35, "25-34",
     E342&lt;45, "35-44",
     E342&lt;55, "45-54",
     E342&lt;65, "55-64",
     TRUE, "65+")</f>
        <v>55-64</v>
      </c>
      <c r="G342" t="s">
        <v>28</v>
      </c>
      <c r="H342" t="s">
        <v>43</v>
      </c>
      <c r="I342" s="2">
        <v>15.99</v>
      </c>
      <c r="J342">
        <v>2</v>
      </c>
      <c r="K342" s="2">
        <v>31.98</v>
      </c>
      <c r="L342" t="s">
        <v>17</v>
      </c>
      <c r="M342" t="s">
        <v>18</v>
      </c>
      <c r="N342">
        <v>5.9</v>
      </c>
    </row>
    <row r="343" spans="1:14">
      <c r="A343">
        <v>342</v>
      </c>
      <c r="B343" s="1">
        <v>45082</v>
      </c>
      <c r="C343">
        <v>166</v>
      </c>
      <c r="D343" t="s">
        <v>14</v>
      </c>
      <c r="E343">
        <v>37</v>
      </c>
      <c r="F343" t="str" cm="1">
        <f t="array" ref="F343">_xlfn.IFS(E343&lt;18, "0-17",
     E343&lt;25, "18-24",
     E343&lt;35, "25-34",
     E343&lt;45, "35-44",
     E343&lt;55, "45-54",
     E343&lt;65, "55-64",
     TRUE, "65+")</f>
        <v>35-44</v>
      </c>
      <c r="G343" t="s">
        <v>20</v>
      </c>
      <c r="H343" t="s">
        <v>44</v>
      </c>
      <c r="I343" s="2">
        <v>10.99</v>
      </c>
      <c r="J343">
        <v>4</v>
      </c>
      <c r="K343" s="2">
        <v>43.96</v>
      </c>
      <c r="L343" t="s">
        <v>17</v>
      </c>
      <c r="M343" t="s">
        <v>18</v>
      </c>
      <c r="N343">
        <v>4.9000000000000004</v>
      </c>
    </row>
    <row r="344" spans="1:14">
      <c r="A344">
        <v>343</v>
      </c>
      <c r="B344" s="1">
        <v>45085</v>
      </c>
      <c r="C344">
        <v>126</v>
      </c>
      <c r="D344" t="s">
        <v>19</v>
      </c>
      <c r="E344">
        <v>32</v>
      </c>
      <c r="F344" t="str" cm="1">
        <f t="array" ref="F344">_xlfn.IFS(E344&lt;18, "0-17",
     E344&lt;25, "18-24",
     E344&lt;35, "25-34",
     E344&lt;45, "35-44",
     E344&lt;55, "45-54",
     E344&lt;65, "55-64",
     TRUE, "65+")</f>
        <v>25-34</v>
      </c>
      <c r="G344" t="s">
        <v>15</v>
      </c>
      <c r="H344" t="s">
        <v>16</v>
      </c>
      <c r="I344" s="2">
        <v>59.99</v>
      </c>
      <c r="J344">
        <v>1</v>
      </c>
      <c r="K344" s="2">
        <v>59.99</v>
      </c>
      <c r="L344" t="s">
        <v>17</v>
      </c>
      <c r="M344" t="s">
        <v>18</v>
      </c>
      <c r="N344">
        <v>3.1</v>
      </c>
    </row>
    <row r="345" spans="1:14">
      <c r="A345">
        <v>344</v>
      </c>
      <c r="B345" s="1">
        <v>45087</v>
      </c>
      <c r="C345">
        <v>112</v>
      </c>
      <c r="D345" t="s">
        <v>14</v>
      </c>
      <c r="E345">
        <v>50</v>
      </c>
      <c r="F345" t="str" cm="1">
        <f t="array" ref="F345">_xlfn.IFS(E345&lt;18, "0-17",
     E345&lt;25, "18-24",
     E345&lt;35, "25-34",
     E345&lt;45, "35-44",
     E345&lt;55, "45-54",
     E345&lt;65, "55-64",
     TRUE, "65+")</f>
        <v>45-54</v>
      </c>
      <c r="G345" t="s">
        <v>23</v>
      </c>
      <c r="H345" t="s">
        <v>41</v>
      </c>
      <c r="I345" s="2">
        <v>149.99</v>
      </c>
      <c r="J345">
        <v>1</v>
      </c>
      <c r="K345" s="2">
        <v>149.99</v>
      </c>
      <c r="L345" t="s">
        <v>17</v>
      </c>
      <c r="M345" t="s">
        <v>18</v>
      </c>
      <c r="N345">
        <v>8.6999999999999993</v>
      </c>
    </row>
    <row r="346" spans="1:14">
      <c r="A346">
        <v>345</v>
      </c>
      <c r="B346" s="1">
        <v>45089</v>
      </c>
      <c r="C346">
        <v>105</v>
      </c>
      <c r="D346" t="s">
        <v>19</v>
      </c>
      <c r="E346">
        <v>44</v>
      </c>
      <c r="F346" t="str" cm="1">
        <f t="array" ref="F346">_xlfn.IFS(E346&lt;18, "0-17",
     E346&lt;25, "18-24",
     E346&lt;35, "25-34",
     E346&lt;45, "35-44",
     E346&lt;55, "45-54",
     E346&lt;65, "55-64",
     TRUE, "65+")</f>
        <v>35-44</v>
      </c>
      <c r="G346" t="s">
        <v>28</v>
      </c>
      <c r="H346" t="s">
        <v>50</v>
      </c>
      <c r="I346" s="2">
        <v>52.99</v>
      </c>
      <c r="J346">
        <v>1</v>
      </c>
      <c r="K346" s="2">
        <v>52.99</v>
      </c>
      <c r="L346" t="s">
        <v>25</v>
      </c>
      <c r="M346" t="s">
        <v>18</v>
      </c>
      <c r="N346">
        <v>3.7</v>
      </c>
    </row>
    <row r="347" spans="1:14">
      <c r="A347">
        <v>346</v>
      </c>
      <c r="B347" s="1">
        <v>45092</v>
      </c>
      <c r="C347">
        <v>159</v>
      </c>
      <c r="D347" t="s">
        <v>14</v>
      </c>
      <c r="E347">
        <v>39</v>
      </c>
      <c r="F347" t="str" cm="1">
        <f t="array" ref="F347">_xlfn.IFS(E347&lt;18, "0-17",
     E347&lt;25, "18-24",
     E347&lt;35, "25-34",
     E347&lt;45, "35-44",
     E347&lt;55, "45-54",
     E347&lt;65, "55-64",
     TRUE, "65+")</f>
        <v>35-44</v>
      </c>
      <c r="G347" t="s">
        <v>20</v>
      </c>
      <c r="H347" t="s">
        <v>32</v>
      </c>
      <c r="I347" s="2">
        <v>69.989999999999995</v>
      </c>
      <c r="J347">
        <v>2</v>
      </c>
      <c r="K347" s="2">
        <v>139.97999999999999</v>
      </c>
      <c r="L347" t="s">
        <v>17</v>
      </c>
      <c r="M347" t="s">
        <v>26</v>
      </c>
      <c r="N347">
        <v>2.5</v>
      </c>
    </row>
    <row r="348" spans="1:14">
      <c r="A348">
        <v>347</v>
      </c>
      <c r="B348" s="1">
        <v>45095</v>
      </c>
      <c r="C348">
        <v>132</v>
      </c>
      <c r="D348" t="s">
        <v>19</v>
      </c>
      <c r="E348">
        <v>57</v>
      </c>
      <c r="F348" t="str" cm="1">
        <f t="array" ref="F348">_xlfn.IFS(E348&lt;18, "0-17",
     E348&lt;25, "18-24",
     E348&lt;35, "25-34",
     E348&lt;45, "35-44",
     E348&lt;55, "45-54",
     E348&lt;65, "55-64",
     TRUE, "65+")</f>
        <v>55-64</v>
      </c>
      <c r="G348" t="s">
        <v>15</v>
      </c>
      <c r="H348" t="s">
        <v>34</v>
      </c>
      <c r="I348" s="2">
        <v>17.989999999999998</v>
      </c>
      <c r="J348">
        <v>3</v>
      </c>
      <c r="K348" s="2">
        <v>53.97</v>
      </c>
      <c r="L348" t="s">
        <v>17</v>
      </c>
      <c r="M348" t="s">
        <v>18</v>
      </c>
      <c r="N348">
        <v>9.4</v>
      </c>
    </row>
    <row r="349" spans="1:14">
      <c r="A349">
        <v>348</v>
      </c>
      <c r="B349" s="1">
        <v>45097</v>
      </c>
      <c r="C349">
        <v>109</v>
      </c>
      <c r="D349" t="s">
        <v>14</v>
      </c>
      <c r="E349">
        <v>32</v>
      </c>
      <c r="F349" t="str" cm="1">
        <f t="array" ref="F349">_xlfn.IFS(E349&lt;18, "0-17",
     E349&lt;25, "18-24",
     E349&lt;35, "25-34",
     E349&lt;45, "35-44",
     E349&lt;55, "45-54",
     E349&lt;65, "55-64",
     TRUE, "65+")</f>
        <v>25-34</v>
      </c>
      <c r="G349" t="s">
        <v>23</v>
      </c>
      <c r="H349" t="s">
        <v>37</v>
      </c>
      <c r="I349" s="2">
        <v>23.99</v>
      </c>
      <c r="J349">
        <v>4</v>
      </c>
      <c r="K349" s="2">
        <v>95.96</v>
      </c>
      <c r="L349" t="s">
        <v>17</v>
      </c>
      <c r="M349" t="s">
        <v>18</v>
      </c>
      <c r="N349">
        <v>0.3</v>
      </c>
    </row>
    <row r="350" spans="1:14">
      <c r="A350">
        <v>349</v>
      </c>
      <c r="B350" s="1">
        <v>45099</v>
      </c>
      <c r="C350">
        <v>117</v>
      </c>
      <c r="D350" t="s">
        <v>19</v>
      </c>
      <c r="E350">
        <v>46</v>
      </c>
      <c r="F350" t="str" cm="1">
        <f t="array" ref="F350">_xlfn.IFS(E350&lt;18, "0-17",
     E350&lt;25, "18-24",
     E350&lt;35, "25-34",
     E350&lt;45, "35-44",
     E350&lt;55, "45-54",
     E350&lt;65, "55-64",
     TRUE, "65+")</f>
        <v>45-54</v>
      </c>
      <c r="G350" t="s">
        <v>28</v>
      </c>
      <c r="H350" t="s">
        <v>39</v>
      </c>
      <c r="I350" s="2">
        <v>8.99</v>
      </c>
      <c r="J350">
        <v>4</v>
      </c>
      <c r="K350" s="2">
        <v>35.96</v>
      </c>
      <c r="L350" t="s">
        <v>17</v>
      </c>
      <c r="M350" t="s">
        <v>18</v>
      </c>
      <c r="N350">
        <v>6.5</v>
      </c>
    </row>
    <row r="351" spans="1:14">
      <c r="A351">
        <v>350</v>
      </c>
      <c r="B351" s="1">
        <v>45102</v>
      </c>
      <c r="C351">
        <v>101</v>
      </c>
      <c r="D351" t="s">
        <v>14</v>
      </c>
      <c r="E351">
        <v>65</v>
      </c>
      <c r="F351" t="str" cm="1">
        <f t="array" ref="F351">_xlfn.IFS(E351&lt;18, "0-17",
     E351&lt;25, "18-24",
     E351&lt;35, "25-34",
     E351&lt;45, "35-44",
     E351&lt;55, "45-54",
     E351&lt;65, "55-64",
     TRUE, "65+")</f>
        <v>65+</v>
      </c>
      <c r="G351" t="s">
        <v>20</v>
      </c>
      <c r="H351" t="s">
        <v>21</v>
      </c>
      <c r="I351" s="2">
        <v>44.99</v>
      </c>
      <c r="J351">
        <v>1</v>
      </c>
      <c r="K351" s="2">
        <v>44.99</v>
      </c>
      <c r="L351" t="s">
        <v>22</v>
      </c>
      <c r="M351" t="s">
        <v>18</v>
      </c>
      <c r="N351">
        <v>9.6999999999999993</v>
      </c>
    </row>
    <row r="352" spans="1:14">
      <c r="A352">
        <v>351</v>
      </c>
      <c r="B352" s="1">
        <v>45105</v>
      </c>
      <c r="C352">
        <v>126</v>
      </c>
      <c r="D352" t="s">
        <v>19</v>
      </c>
      <c r="E352">
        <v>30</v>
      </c>
      <c r="F352" t="str" cm="1">
        <f t="array" ref="F352">_xlfn.IFS(E352&lt;18, "0-17",
     E352&lt;25, "18-24",
     E352&lt;35, "25-34",
     E352&lt;45, "35-44",
     E352&lt;55, "45-54",
     E352&lt;65, "55-64",
     TRUE, "65+")</f>
        <v>25-34</v>
      </c>
      <c r="G352" t="s">
        <v>15</v>
      </c>
      <c r="H352" t="s">
        <v>46</v>
      </c>
      <c r="I352" s="2">
        <v>79.989999999999995</v>
      </c>
      <c r="J352">
        <v>2</v>
      </c>
      <c r="K352" s="2">
        <v>159.97999999999999</v>
      </c>
      <c r="L352" t="s">
        <v>17</v>
      </c>
      <c r="M352" t="s">
        <v>26</v>
      </c>
      <c r="N352">
        <v>3.1</v>
      </c>
    </row>
    <row r="353" spans="1:14">
      <c r="A353">
        <v>352</v>
      </c>
      <c r="B353" s="1">
        <v>45107</v>
      </c>
      <c r="C353">
        <v>160</v>
      </c>
      <c r="D353" t="s">
        <v>14</v>
      </c>
      <c r="E353">
        <v>41</v>
      </c>
      <c r="F353" t="str" cm="1">
        <f t="array" ref="F353">_xlfn.IFS(E353&lt;18, "0-17",
     E353&lt;25, "18-24",
     E353&lt;35, "25-34",
     E353&lt;45, "35-44",
     E353&lt;55, "45-54",
     E353&lt;65, "55-64",
     TRUE, "65+")</f>
        <v>35-44</v>
      </c>
      <c r="G353" t="s">
        <v>23</v>
      </c>
      <c r="H353" t="s">
        <v>33</v>
      </c>
      <c r="I353" s="2">
        <v>44.99</v>
      </c>
      <c r="J353">
        <v>3</v>
      </c>
      <c r="K353" s="2">
        <v>134.97</v>
      </c>
      <c r="L353" t="s">
        <v>17</v>
      </c>
      <c r="M353" t="s">
        <v>18</v>
      </c>
      <c r="N353">
        <v>5.6</v>
      </c>
    </row>
    <row r="354" spans="1:14">
      <c r="A354">
        <v>353</v>
      </c>
      <c r="B354" s="1">
        <v>45110</v>
      </c>
      <c r="C354">
        <v>115</v>
      </c>
      <c r="D354" t="s">
        <v>19</v>
      </c>
      <c r="E354">
        <v>58</v>
      </c>
      <c r="F354" t="str" cm="1">
        <f t="array" ref="F354">_xlfn.IFS(E354&lt;18, "0-17",
     E354&lt;25, "18-24",
     E354&lt;35, "25-34",
     E354&lt;45, "35-44",
     E354&lt;55, "45-54",
     E354&lt;65, "55-64",
     TRUE, "65+")</f>
        <v>55-64</v>
      </c>
      <c r="G354" t="s">
        <v>28</v>
      </c>
      <c r="H354" t="s">
        <v>29</v>
      </c>
      <c r="I354" s="2">
        <v>42.99</v>
      </c>
      <c r="J354">
        <v>2</v>
      </c>
      <c r="K354" s="2">
        <v>85.98</v>
      </c>
      <c r="L354" t="s">
        <v>17</v>
      </c>
      <c r="M354" t="s">
        <v>18</v>
      </c>
      <c r="N354">
        <v>0.1</v>
      </c>
    </row>
    <row r="355" spans="1:14">
      <c r="A355">
        <v>354</v>
      </c>
      <c r="B355" s="1">
        <v>45112</v>
      </c>
      <c r="C355">
        <v>166</v>
      </c>
      <c r="D355" t="s">
        <v>14</v>
      </c>
      <c r="E355">
        <v>47</v>
      </c>
      <c r="F355" t="str" cm="1">
        <f t="array" ref="F355">_xlfn.IFS(E355&lt;18, "0-17",
     E355&lt;25, "18-24",
     E355&lt;35, "25-34",
     E355&lt;45, "35-44",
     E355&lt;55, "45-54",
     E355&lt;65, "55-64",
     TRUE, "65+")</f>
        <v>45-54</v>
      </c>
      <c r="G355" t="s">
        <v>20</v>
      </c>
      <c r="H355" t="s">
        <v>44</v>
      </c>
      <c r="I355" s="2">
        <v>9.99</v>
      </c>
      <c r="J355">
        <v>5</v>
      </c>
      <c r="K355" s="2">
        <v>49.95</v>
      </c>
      <c r="L355" t="s">
        <v>17</v>
      </c>
      <c r="M355" t="s">
        <v>18</v>
      </c>
      <c r="N355">
        <v>4.9000000000000004</v>
      </c>
    </row>
    <row r="356" spans="1:14">
      <c r="A356">
        <v>355</v>
      </c>
      <c r="B356" s="1">
        <v>45115</v>
      </c>
      <c r="C356">
        <v>120</v>
      </c>
      <c r="D356" t="s">
        <v>19</v>
      </c>
      <c r="E356">
        <v>34</v>
      </c>
      <c r="F356" t="str" cm="1">
        <f t="array" ref="F356">_xlfn.IFS(E356&lt;18, "0-17",
     E356&lt;25, "18-24",
     E356&lt;35, "25-34",
     E356&lt;45, "35-44",
     E356&lt;55, "45-54",
     E356&lt;65, "55-64",
     TRUE, "65+")</f>
        <v>25-34</v>
      </c>
      <c r="G356" t="s">
        <v>15</v>
      </c>
      <c r="H356" t="s">
        <v>42</v>
      </c>
      <c r="I356" s="2">
        <v>229.99</v>
      </c>
      <c r="J356">
        <v>1</v>
      </c>
      <c r="K356" s="2">
        <v>229.99</v>
      </c>
      <c r="L356" t="s">
        <v>31</v>
      </c>
      <c r="M356" t="s">
        <v>18</v>
      </c>
      <c r="N356">
        <v>2.1</v>
      </c>
    </row>
    <row r="357" spans="1:14">
      <c r="A357">
        <v>356</v>
      </c>
      <c r="B357" s="1">
        <v>45117</v>
      </c>
      <c r="C357">
        <v>158</v>
      </c>
      <c r="D357" t="s">
        <v>14</v>
      </c>
      <c r="E357">
        <v>63</v>
      </c>
      <c r="F357" t="str" cm="1">
        <f t="array" ref="F357">_xlfn.IFS(E357&lt;18, "0-17",
     E357&lt;25, "18-24",
     E357&lt;35, "25-34",
     E357&lt;45, "35-44",
     E357&lt;55, "45-54",
     E357&lt;65, "55-64",
     TRUE, "65+")</f>
        <v>55-64</v>
      </c>
      <c r="G357" t="s">
        <v>23</v>
      </c>
      <c r="H357" t="s">
        <v>45</v>
      </c>
      <c r="I357" s="2">
        <v>65.989999999999995</v>
      </c>
      <c r="J357">
        <v>1</v>
      </c>
      <c r="K357" s="2">
        <v>65.989999999999995</v>
      </c>
      <c r="L357" t="s">
        <v>17</v>
      </c>
      <c r="M357" t="s">
        <v>26</v>
      </c>
      <c r="N357">
        <v>2.2000000000000002</v>
      </c>
    </row>
    <row r="358" spans="1:14">
      <c r="A358">
        <v>357</v>
      </c>
      <c r="B358" s="1">
        <v>45119</v>
      </c>
      <c r="C358">
        <v>113</v>
      </c>
      <c r="D358" t="s">
        <v>19</v>
      </c>
      <c r="E358">
        <v>28</v>
      </c>
      <c r="F358" t="str" cm="1">
        <f t="array" ref="F358">_xlfn.IFS(E358&lt;18, "0-17",
     E358&lt;25, "18-24",
     E358&lt;35, "25-34",
     E358&lt;45, "35-44",
     E358&lt;55, "45-54",
     E358&lt;65, "55-64",
     TRUE, "65+")</f>
        <v>25-34</v>
      </c>
      <c r="G358" t="s">
        <v>28</v>
      </c>
      <c r="H358" t="s">
        <v>35</v>
      </c>
      <c r="I358" s="2">
        <v>18.989999999999998</v>
      </c>
      <c r="J358">
        <v>2</v>
      </c>
      <c r="K358" s="2">
        <v>37.979999999999997</v>
      </c>
      <c r="L358" t="s">
        <v>17</v>
      </c>
      <c r="M358" t="s">
        <v>18</v>
      </c>
      <c r="N358">
        <v>0.5</v>
      </c>
    </row>
    <row r="359" spans="1:14">
      <c r="A359">
        <v>358</v>
      </c>
      <c r="B359" s="1">
        <v>45122</v>
      </c>
      <c r="C359">
        <v>115</v>
      </c>
      <c r="D359" t="s">
        <v>14</v>
      </c>
      <c r="E359">
        <v>51</v>
      </c>
      <c r="F359" t="str" cm="1">
        <f t="array" ref="F359">_xlfn.IFS(E359&lt;18, "0-17",
     E359&lt;25, "18-24",
     E359&lt;35, "25-34",
     E359&lt;45, "35-44",
     E359&lt;55, "45-54",
     E359&lt;65, "55-64",
     TRUE, "65+")</f>
        <v>45-54</v>
      </c>
      <c r="G359" t="s">
        <v>20</v>
      </c>
      <c r="H359" t="s">
        <v>47</v>
      </c>
      <c r="I359" s="2">
        <v>17.989999999999998</v>
      </c>
      <c r="J359">
        <v>2</v>
      </c>
      <c r="K359" s="2">
        <v>35.979999999999997</v>
      </c>
      <c r="L359" t="s">
        <v>17</v>
      </c>
      <c r="M359" t="s">
        <v>18</v>
      </c>
      <c r="N359">
        <v>0.1</v>
      </c>
    </row>
    <row r="360" spans="1:14">
      <c r="A360">
        <v>359</v>
      </c>
      <c r="B360" s="1">
        <v>45125</v>
      </c>
      <c r="C360">
        <v>131</v>
      </c>
      <c r="D360" t="s">
        <v>19</v>
      </c>
      <c r="E360">
        <v>49</v>
      </c>
      <c r="F360" t="str" cm="1">
        <f t="array" ref="F360">_xlfn.IFS(E360&lt;18, "0-17",
     E360&lt;25, "18-24",
     E360&lt;35, "25-34",
     E360&lt;45, "35-44",
     E360&lt;55, "45-54",
     E360&lt;65, "55-64",
     TRUE, "65+")</f>
        <v>45-54</v>
      </c>
      <c r="G360" t="s">
        <v>15</v>
      </c>
      <c r="H360" t="s">
        <v>30</v>
      </c>
      <c r="I360" s="2">
        <v>14.99</v>
      </c>
      <c r="J360">
        <v>3</v>
      </c>
      <c r="K360" s="2">
        <v>44.97</v>
      </c>
      <c r="L360" t="s">
        <v>17</v>
      </c>
      <c r="M360" t="s">
        <v>18</v>
      </c>
      <c r="N360">
        <v>2.1</v>
      </c>
    </row>
    <row r="361" spans="1:14">
      <c r="A361">
        <v>360</v>
      </c>
      <c r="B361" s="1">
        <v>45127</v>
      </c>
      <c r="C361">
        <v>123</v>
      </c>
      <c r="D361" t="s">
        <v>14</v>
      </c>
      <c r="E361">
        <v>40</v>
      </c>
      <c r="F361" t="str" cm="1">
        <f t="array" ref="F361">_xlfn.IFS(E361&lt;18, "0-17",
     E361&lt;25, "18-24",
     E361&lt;35, "25-34",
     E361&lt;45, "35-44",
     E361&lt;55, "45-54",
     E361&lt;65, "55-64",
     TRUE, "65+")</f>
        <v>35-44</v>
      </c>
      <c r="G361" t="s">
        <v>23</v>
      </c>
      <c r="H361" t="s">
        <v>24</v>
      </c>
      <c r="I361" s="2">
        <v>32.99</v>
      </c>
      <c r="J361">
        <v>2</v>
      </c>
      <c r="K361" s="2">
        <v>65.98</v>
      </c>
      <c r="L361" t="s">
        <v>17</v>
      </c>
      <c r="M361" t="s">
        <v>18</v>
      </c>
      <c r="N361">
        <v>8.9</v>
      </c>
    </row>
    <row r="362" spans="1:14">
      <c r="A362">
        <v>361</v>
      </c>
      <c r="B362" s="1">
        <v>45129</v>
      </c>
      <c r="C362">
        <v>116</v>
      </c>
      <c r="D362" t="s">
        <v>19</v>
      </c>
      <c r="E362">
        <v>60</v>
      </c>
      <c r="F362" t="str" cm="1">
        <f t="array" ref="F362">_xlfn.IFS(E362&lt;18, "0-17",
     E362&lt;25, "18-24",
     E362&lt;35, "25-34",
     E362&lt;45, "35-44",
     E362&lt;55, "45-54",
     E362&lt;65, "55-64",
     TRUE, "65+")</f>
        <v>55-64</v>
      </c>
      <c r="G362" t="s">
        <v>28</v>
      </c>
      <c r="H362" t="s">
        <v>43</v>
      </c>
      <c r="I362" s="2">
        <v>13.99</v>
      </c>
      <c r="J362">
        <v>4</v>
      </c>
      <c r="K362" s="2">
        <v>55.96</v>
      </c>
      <c r="L362" t="s">
        <v>22</v>
      </c>
      <c r="M362" t="s">
        <v>18</v>
      </c>
      <c r="N362">
        <v>3.4</v>
      </c>
    </row>
    <row r="363" spans="1:14">
      <c r="A363">
        <v>362</v>
      </c>
      <c r="B363" s="1">
        <v>45132</v>
      </c>
      <c r="C363">
        <v>128</v>
      </c>
      <c r="D363" t="s">
        <v>14</v>
      </c>
      <c r="E363">
        <v>35</v>
      </c>
      <c r="F363" t="str" cm="1">
        <f t="array" ref="F363">_xlfn.IFS(E363&lt;18, "0-17",
     E363&lt;25, "18-24",
     E363&lt;35, "25-34",
     E363&lt;45, "35-44",
     E363&lt;55, "45-54",
     E363&lt;65, "55-64",
     TRUE, "65+")</f>
        <v>35-44</v>
      </c>
      <c r="G363" t="s">
        <v>20</v>
      </c>
      <c r="H363" t="s">
        <v>32</v>
      </c>
      <c r="I363" s="2">
        <v>64.989999999999995</v>
      </c>
      <c r="J363">
        <v>2</v>
      </c>
      <c r="K363" s="2">
        <v>129.97999999999999</v>
      </c>
      <c r="L363" t="s">
        <v>17</v>
      </c>
      <c r="M363" t="s">
        <v>26</v>
      </c>
      <c r="N363">
        <v>8.8000000000000007</v>
      </c>
    </row>
    <row r="364" spans="1:14">
      <c r="A364">
        <v>363</v>
      </c>
      <c r="B364" s="1">
        <v>45135</v>
      </c>
      <c r="C364">
        <v>112</v>
      </c>
      <c r="D364" t="s">
        <v>19</v>
      </c>
      <c r="E364">
        <v>53</v>
      </c>
      <c r="F364" t="str" cm="1">
        <f t="array" ref="F364">_xlfn.IFS(E364&lt;18, "0-17",
     E364&lt;25, "18-24",
     E364&lt;35, "25-34",
     E364&lt;45, "35-44",
     E364&lt;55, "45-54",
     E364&lt;65, "55-64",
     TRUE, "65+")</f>
        <v>45-54</v>
      </c>
      <c r="G364" t="s">
        <v>15</v>
      </c>
      <c r="H364" t="s">
        <v>38</v>
      </c>
      <c r="I364" s="2">
        <v>99.99</v>
      </c>
      <c r="J364">
        <v>1</v>
      </c>
      <c r="K364" s="2">
        <v>99.99</v>
      </c>
      <c r="L364" t="s">
        <v>17</v>
      </c>
      <c r="M364" t="s">
        <v>18</v>
      </c>
      <c r="N364">
        <v>8.6999999999999993</v>
      </c>
    </row>
    <row r="365" spans="1:14">
      <c r="A365">
        <v>364</v>
      </c>
      <c r="B365" s="1">
        <v>45137</v>
      </c>
      <c r="C365">
        <v>183</v>
      </c>
      <c r="D365" t="s">
        <v>14</v>
      </c>
      <c r="E365">
        <v>33</v>
      </c>
      <c r="F365" t="str" cm="1">
        <f t="array" ref="F365">_xlfn.IFS(E365&lt;18, "0-17",
     E365&lt;25, "18-24",
     E365&lt;35, "25-34",
     E365&lt;45, "35-44",
     E365&lt;55, "45-54",
     E365&lt;65, "55-64",
     TRUE, "65+")</f>
        <v>25-34</v>
      </c>
      <c r="G365" t="s">
        <v>23</v>
      </c>
      <c r="H365" t="s">
        <v>37</v>
      </c>
      <c r="I365" s="2">
        <v>24.99</v>
      </c>
      <c r="J365">
        <v>3</v>
      </c>
      <c r="K365" s="2">
        <v>74.97</v>
      </c>
      <c r="L365" t="s">
        <v>17</v>
      </c>
      <c r="M365" t="s">
        <v>18</v>
      </c>
      <c r="N365">
        <v>3</v>
      </c>
    </row>
    <row r="366" spans="1:14">
      <c r="A366">
        <v>365</v>
      </c>
      <c r="B366" s="1">
        <v>45140</v>
      </c>
      <c r="C366">
        <v>173</v>
      </c>
      <c r="D366" t="s">
        <v>19</v>
      </c>
      <c r="E366">
        <v>44</v>
      </c>
      <c r="F366" t="str" cm="1">
        <f t="array" ref="F366">_xlfn.IFS(E366&lt;18, "0-17",
     E366&lt;25, "18-24",
     E366&lt;35, "25-34",
     E366&lt;45, "35-44",
     E366&lt;55, "45-54",
     E366&lt;65, "55-64",
     TRUE, "65+")</f>
        <v>35-44</v>
      </c>
      <c r="G366" t="s">
        <v>28</v>
      </c>
      <c r="H366" t="s">
        <v>50</v>
      </c>
      <c r="I366" s="2">
        <v>47.99</v>
      </c>
      <c r="J366">
        <v>2</v>
      </c>
      <c r="K366" s="2">
        <v>95.98</v>
      </c>
      <c r="L366" t="s">
        <v>17</v>
      </c>
      <c r="M366" t="s">
        <v>18</v>
      </c>
      <c r="N366">
        <v>6.9</v>
      </c>
    </row>
    <row r="367" spans="1:14">
      <c r="A367">
        <v>366</v>
      </c>
      <c r="B367" s="1">
        <v>45143</v>
      </c>
      <c r="C367">
        <v>120</v>
      </c>
      <c r="D367" t="s">
        <v>14</v>
      </c>
      <c r="E367">
        <v>37</v>
      </c>
      <c r="F367" t="str" cm="1">
        <f t="array" ref="F367">_xlfn.IFS(E367&lt;18, "0-17",
     E367&lt;25, "18-24",
     E367&lt;35, "25-34",
     E367&lt;45, "35-44",
     E367&lt;55, "45-54",
     E367&lt;65, "55-64",
     TRUE, "65+")</f>
        <v>35-44</v>
      </c>
      <c r="G367" t="s">
        <v>20</v>
      </c>
      <c r="H367" t="s">
        <v>21</v>
      </c>
      <c r="I367" s="2">
        <v>39.99</v>
      </c>
      <c r="J367">
        <v>3</v>
      </c>
      <c r="K367" s="2">
        <v>119.97</v>
      </c>
      <c r="L367" t="s">
        <v>17</v>
      </c>
      <c r="M367" t="s">
        <v>18</v>
      </c>
      <c r="N367">
        <v>2.1</v>
      </c>
    </row>
    <row r="368" spans="1:14">
      <c r="A368">
        <v>367</v>
      </c>
      <c r="B368" s="1">
        <v>45146</v>
      </c>
      <c r="C368">
        <v>166</v>
      </c>
      <c r="D368" t="s">
        <v>19</v>
      </c>
      <c r="E368">
        <v>54</v>
      </c>
      <c r="F368" t="str" cm="1">
        <f t="array" ref="F368">_xlfn.IFS(E368&lt;18, "0-17",
     E368&lt;25, "18-24",
     E368&lt;35, "25-34",
     E368&lt;45, "35-44",
     E368&lt;55, "45-54",
     E368&lt;65, "55-64",
     TRUE, "65+")</f>
        <v>45-54</v>
      </c>
      <c r="G368" t="s">
        <v>15</v>
      </c>
      <c r="H368" t="s">
        <v>16</v>
      </c>
      <c r="I368" s="2">
        <v>54.99</v>
      </c>
      <c r="J368">
        <v>2</v>
      </c>
      <c r="K368" s="2">
        <v>109.98</v>
      </c>
      <c r="L368" t="s">
        <v>25</v>
      </c>
      <c r="M368" t="s">
        <v>18</v>
      </c>
      <c r="N368">
        <v>4.9000000000000004</v>
      </c>
    </row>
    <row r="369" spans="1:14">
      <c r="A369">
        <v>368</v>
      </c>
      <c r="B369" s="1">
        <v>45148</v>
      </c>
      <c r="C369">
        <v>190</v>
      </c>
      <c r="D369" t="s">
        <v>14</v>
      </c>
      <c r="E369">
        <v>66</v>
      </c>
      <c r="F369" t="str" cm="1">
        <f t="array" ref="F369">_xlfn.IFS(E369&lt;18, "0-17",
     E369&lt;25, "18-24",
     E369&lt;35, "25-34",
     E369&lt;45, "35-44",
     E369&lt;55, "45-54",
     E369&lt;65, "55-64",
     TRUE, "65+")</f>
        <v>65+</v>
      </c>
      <c r="G369" t="s">
        <v>23</v>
      </c>
      <c r="H369" t="s">
        <v>49</v>
      </c>
      <c r="I369" s="2">
        <v>29.99</v>
      </c>
      <c r="J369">
        <v>2</v>
      </c>
      <c r="K369" s="2">
        <v>59.98</v>
      </c>
      <c r="L369" t="s">
        <v>17</v>
      </c>
      <c r="M369" t="s">
        <v>26</v>
      </c>
      <c r="N369">
        <v>8.4</v>
      </c>
    </row>
    <row r="370" spans="1:14">
      <c r="A370">
        <v>369</v>
      </c>
      <c r="B370" s="1">
        <v>45150</v>
      </c>
      <c r="C370">
        <v>154</v>
      </c>
      <c r="D370" t="s">
        <v>19</v>
      </c>
      <c r="E370">
        <v>42</v>
      </c>
      <c r="F370" t="str" cm="1">
        <f t="array" ref="F370">_xlfn.IFS(E370&lt;18, "0-17",
     E370&lt;25, "18-24",
     E370&lt;35, "25-34",
     E370&lt;45, "35-44",
     E370&lt;55, "45-54",
     E370&lt;65, "55-64",
     TRUE, "65+")</f>
        <v>35-44</v>
      </c>
      <c r="G370" t="s">
        <v>28</v>
      </c>
      <c r="H370" t="s">
        <v>39</v>
      </c>
      <c r="I370" s="2">
        <v>7.99</v>
      </c>
      <c r="J370">
        <v>4</v>
      </c>
      <c r="K370" s="2">
        <v>31.96</v>
      </c>
      <c r="L370" t="s">
        <v>17</v>
      </c>
      <c r="M370" t="s">
        <v>18</v>
      </c>
      <c r="N370">
        <v>2.5</v>
      </c>
    </row>
    <row r="371" spans="1:14">
      <c r="A371">
        <v>370</v>
      </c>
      <c r="B371" s="1">
        <v>45153</v>
      </c>
      <c r="C371">
        <v>193</v>
      </c>
      <c r="D371" t="s">
        <v>14</v>
      </c>
      <c r="E371">
        <v>49</v>
      </c>
      <c r="F371" t="str" cm="1">
        <f t="array" ref="F371">_xlfn.IFS(E371&lt;18, "0-17",
     E371&lt;25, "18-24",
     E371&lt;35, "25-34",
     E371&lt;45, "35-44",
     E371&lt;55, "45-54",
     E371&lt;65, "55-64",
     TRUE, "65+")</f>
        <v>45-54</v>
      </c>
      <c r="G371" t="s">
        <v>20</v>
      </c>
      <c r="H371" t="s">
        <v>36</v>
      </c>
      <c r="I371" s="2">
        <v>89.99</v>
      </c>
      <c r="J371">
        <v>1</v>
      </c>
      <c r="K371" s="2">
        <v>89.99</v>
      </c>
      <c r="L371" t="s">
        <v>17</v>
      </c>
      <c r="M371" t="s">
        <v>18</v>
      </c>
      <c r="N371">
        <v>2.2999999999999998</v>
      </c>
    </row>
    <row r="372" spans="1:14">
      <c r="A372">
        <v>371</v>
      </c>
      <c r="B372" s="1">
        <v>45156</v>
      </c>
      <c r="C372">
        <v>185</v>
      </c>
      <c r="D372" t="s">
        <v>19</v>
      </c>
      <c r="E372">
        <v>30</v>
      </c>
      <c r="F372" t="str" cm="1">
        <f t="array" ref="F372">_xlfn.IFS(E372&lt;18, "0-17",
     E372&lt;25, "18-24",
     E372&lt;35, "25-34",
     E372&lt;45, "35-44",
     E372&lt;55, "45-54",
     E372&lt;65, "55-64",
     TRUE, "65+")</f>
        <v>25-34</v>
      </c>
      <c r="G372" t="s">
        <v>15</v>
      </c>
      <c r="H372" t="s">
        <v>46</v>
      </c>
      <c r="I372" s="2">
        <v>79.989999999999995</v>
      </c>
      <c r="J372">
        <v>2</v>
      </c>
      <c r="K372" s="2">
        <v>159.97999999999999</v>
      </c>
      <c r="L372" t="s">
        <v>17</v>
      </c>
      <c r="M372" t="s">
        <v>18</v>
      </c>
      <c r="N372">
        <v>4.5</v>
      </c>
    </row>
    <row r="373" spans="1:14">
      <c r="A373">
        <v>372</v>
      </c>
      <c r="B373" s="1">
        <v>45158</v>
      </c>
      <c r="C373">
        <v>190</v>
      </c>
      <c r="D373" t="s">
        <v>14</v>
      </c>
      <c r="E373">
        <v>61</v>
      </c>
      <c r="F373" t="str" cm="1">
        <f t="array" ref="F373">_xlfn.IFS(E373&lt;18, "0-17",
     E373&lt;25, "18-24",
     E373&lt;35, "25-34",
     E373&lt;45, "35-44",
     E373&lt;55, "45-54",
     E373&lt;65, "55-64",
     TRUE, "65+")</f>
        <v>55-64</v>
      </c>
      <c r="G373" t="s">
        <v>23</v>
      </c>
      <c r="H373" t="s">
        <v>41</v>
      </c>
      <c r="I373" s="2">
        <v>139.99</v>
      </c>
      <c r="J373">
        <v>1</v>
      </c>
      <c r="K373" s="2">
        <v>139.99</v>
      </c>
      <c r="L373" t="s">
        <v>22</v>
      </c>
      <c r="M373" t="s">
        <v>18</v>
      </c>
      <c r="N373">
        <v>8.4</v>
      </c>
    </row>
    <row r="374" spans="1:14">
      <c r="A374">
        <v>373</v>
      </c>
      <c r="B374" s="1">
        <v>45160</v>
      </c>
      <c r="C374">
        <v>166</v>
      </c>
      <c r="D374" t="s">
        <v>19</v>
      </c>
      <c r="E374">
        <v>38</v>
      </c>
      <c r="F374" t="str" cm="1">
        <f t="array" ref="F374">_xlfn.IFS(E374&lt;18, "0-17",
     E374&lt;25, "18-24",
     E374&lt;35, "25-34",
     E374&lt;45, "35-44",
     E374&lt;55, "45-54",
     E374&lt;65, "55-64",
     TRUE, "65+")</f>
        <v>35-44</v>
      </c>
      <c r="G374" t="s">
        <v>28</v>
      </c>
      <c r="H374" t="s">
        <v>29</v>
      </c>
      <c r="I374" s="2">
        <v>39.99</v>
      </c>
      <c r="J374">
        <v>2</v>
      </c>
      <c r="K374" s="2">
        <v>79.98</v>
      </c>
      <c r="L374" t="s">
        <v>17</v>
      </c>
      <c r="M374" t="s">
        <v>26</v>
      </c>
      <c r="N374">
        <v>4.9000000000000004</v>
      </c>
    </row>
    <row r="375" spans="1:14">
      <c r="A375">
        <v>374</v>
      </c>
      <c r="B375" s="1">
        <v>45163</v>
      </c>
      <c r="C375">
        <v>107</v>
      </c>
      <c r="D375" t="s">
        <v>14</v>
      </c>
      <c r="E375">
        <v>27</v>
      </c>
      <c r="F375" t="str" cm="1">
        <f t="array" ref="F375">_xlfn.IFS(E375&lt;18, "0-17",
     E375&lt;25, "18-24",
     E375&lt;35, "25-34",
     E375&lt;45, "35-44",
     E375&lt;55, "45-54",
     E375&lt;65, "55-64",
     TRUE, "65+")</f>
        <v>25-34</v>
      </c>
      <c r="G375" t="s">
        <v>20</v>
      </c>
      <c r="H375" t="s">
        <v>44</v>
      </c>
      <c r="I375" s="2">
        <v>11.99</v>
      </c>
      <c r="J375">
        <v>5</v>
      </c>
      <c r="K375" s="2">
        <v>59.95</v>
      </c>
      <c r="L375" t="s">
        <v>17</v>
      </c>
      <c r="M375" t="s">
        <v>18</v>
      </c>
      <c r="N375">
        <v>6</v>
      </c>
    </row>
    <row r="376" spans="1:14">
      <c r="A376">
        <v>375</v>
      </c>
      <c r="B376" s="1">
        <v>45166</v>
      </c>
      <c r="C376">
        <v>199</v>
      </c>
      <c r="D376" t="s">
        <v>19</v>
      </c>
      <c r="E376">
        <v>45</v>
      </c>
      <c r="F376" t="str" cm="1">
        <f t="array" ref="F376">_xlfn.IFS(E376&lt;18, "0-17",
     E376&lt;25, "18-24",
     E376&lt;35, "25-34",
     E376&lt;45, "35-44",
     E376&lt;55, "45-54",
     E376&lt;65, "55-64",
     TRUE, "65+")</f>
        <v>45-54</v>
      </c>
      <c r="G376" t="s">
        <v>15</v>
      </c>
      <c r="H376" t="s">
        <v>34</v>
      </c>
      <c r="I376" s="2">
        <v>16.989999999999998</v>
      </c>
      <c r="J376">
        <v>4</v>
      </c>
      <c r="K376" s="2">
        <v>67.959999999999994</v>
      </c>
      <c r="L376" t="s">
        <v>17</v>
      </c>
      <c r="M376" t="s">
        <v>18</v>
      </c>
      <c r="N376">
        <v>1.9</v>
      </c>
    </row>
    <row r="377" spans="1:14">
      <c r="A377">
        <v>376</v>
      </c>
      <c r="B377" s="1">
        <v>45168</v>
      </c>
      <c r="C377">
        <v>126</v>
      </c>
      <c r="D377" t="s">
        <v>14</v>
      </c>
      <c r="E377">
        <v>31</v>
      </c>
      <c r="F377" t="str" cm="1">
        <f t="array" ref="F377">_xlfn.IFS(E377&lt;18, "0-17",
     E377&lt;25, "18-24",
     E377&lt;35, "25-34",
     E377&lt;45, "35-44",
     E377&lt;55, "45-54",
     E377&lt;65, "55-64",
     TRUE, "65+")</f>
        <v>25-34</v>
      </c>
      <c r="G377" t="s">
        <v>23</v>
      </c>
      <c r="H377" t="s">
        <v>45</v>
      </c>
      <c r="I377" s="2">
        <v>59.99</v>
      </c>
      <c r="J377">
        <v>2</v>
      </c>
      <c r="K377" s="2">
        <v>119.98</v>
      </c>
      <c r="L377" t="s">
        <v>17</v>
      </c>
      <c r="M377" t="s">
        <v>18</v>
      </c>
      <c r="N377">
        <v>3.1</v>
      </c>
    </row>
    <row r="378" spans="1:14">
      <c r="A378">
        <v>377</v>
      </c>
      <c r="B378" s="1">
        <v>45171</v>
      </c>
      <c r="C378">
        <v>191</v>
      </c>
      <c r="D378" t="s">
        <v>19</v>
      </c>
      <c r="E378">
        <v>56</v>
      </c>
      <c r="F378" t="str" cm="1">
        <f t="array" ref="F378">_xlfn.IFS(E378&lt;18, "0-17",
     E378&lt;25, "18-24",
     E378&lt;35, "25-34",
     E378&lt;45, "35-44",
     E378&lt;55, "45-54",
     E378&lt;65, "55-64",
     TRUE, "65+")</f>
        <v>55-64</v>
      </c>
      <c r="G378" t="s">
        <v>28</v>
      </c>
      <c r="H378" t="s">
        <v>35</v>
      </c>
      <c r="I378" s="2">
        <v>15.99</v>
      </c>
      <c r="J378">
        <v>3</v>
      </c>
      <c r="K378" s="2">
        <v>47.97</v>
      </c>
      <c r="L378" t="s">
        <v>31</v>
      </c>
      <c r="M378" t="s">
        <v>18</v>
      </c>
      <c r="N378">
        <v>9.4</v>
      </c>
    </row>
    <row r="379" spans="1:14">
      <c r="A379">
        <v>378</v>
      </c>
      <c r="B379" s="1">
        <v>45174</v>
      </c>
      <c r="C379">
        <v>185</v>
      </c>
      <c r="D379" t="s">
        <v>14</v>
      </c>
      <c r="E379">
        <v>41</v>
      </c>
      <c r="F379" t="str" cm="1">
        <f t="array" ref="F379">_xlfn.IFS(E379&lt;18, "0-17",
     E379&lt;25, "18-24",
     E379&lt;35, "25-34",
     E379&lt;45, "35-44",
     E379&lt;55, "45-54",
     E379&lt;65, "55-64",
     TRUE, "65+")</f>
        <v>35-44</v>
      </c>
      <c r="G379" t="s">
        <v>20</v>
      </c>
      <c r="H379" t="s">
        <v>32</v>
      </c>
      <c r="I379" s="2">
        <v>69.989999999999995</v>
      </c>
      <c r="J379">
        <v>1</v>
      </c>
      <c r="K379" s="2">
        <v>69.989999999999995</v>
      </c>
      <c r="L379" t="s">
        <v>17</v>
      </c>
      <c r="M379" t="s">
        <v>26</v>
      </c>
      <c r="N379">
        <v>4.5</v>
      </c>
    </row>
    <row r="380" spans="1:14">
      <c r="A380">
        <v>379</v>
      </c>
      <c r="B380" s="1">
        <v>45177</v>
      </c>
      <c r="C380">
        <v>146</v>
      </c>
      <c r="D380" t="s">
        <v>19</v>
      </c>
      <c r="E380">
        <v>46</v>
      </c>
      <c r="F380" t="str" cm="1">
        <f t="array" ref="F380">_xlfn.IFS(E380&lt;18, "0-17",
     E380&lt;25, "18-24",
     E380&lt;35, "25-34",
     E380&lt;45, "35-44",
     E380&lt;55, "45-54",
     E380&lt;65, "55-64",
     TRUE, "65+")</f>
        <v>45-54</v>
      </c>
      <c r="G380" t="s">
        <v>15</v>
      </c>
      <c r="H380" t="s">
        <v>48</v>
      </c>
      <c r="I380" s="2">
        <v>27.99</v>
      </c>
      <c r="J380">
        <v>2</v>
      </c>
      <c r="K380" s="2">
        <v>55.98</v>
      </c>
      <c r="L380" t="s">
        <v>17</v>
      </c>
      <c r="M380" t="s">
        <v>18</v>
      </c>
      <c r="N380">
        <v>5.5</v>
      </c>
    </row>
    <row r="381" spans="1:14">
      <c r="A381">
        <v>380</v>
      </c>
      <c r="B381" s="1">
        <v>45179</v>
      </c>
      <c r="C381">
        <v>150</v>
      </c>
      <c r="D381" t="s">
        <v>14</v>
      </c>
      <c r="E381">
        <v>35</v>
      </c>
      <c r="F381" t="str" cm="1">
        <f t="array" ref="F381">_xlfn.IFS(E381&lt;18, "0-17",
     E381&lt;25, "18-24",
     E381&lt;35, "25-34",
     E381&lt;45, "35-44",
     E381&lt;55, "45-54",
     E381&lt;65, "55-64",
     TRUE, "65+")</f>
        <v>35-44</v>
      </c>
      <c r="G381" t="s">
        <v>23</v>
      </c>
      <c r="H381" t="s">
        <v>37</v>
      </c>
      <c r="I381" s="2">
        <v>22.99</v>
      </c>
      <c r="J381">
        <v>4</v>
      </c>
      <c r="K381" s="2">
        <v>91.96</v>
      </c>
      <c r="L381" t="s">
        <v>17</v>
      </c>
      <c r="M381" t="s">
        <v>18</v>
      </c>
      <c r="N381">
        <v>7.6</v>
      </c>
    </row>
    <row r="382" spans="1:14">
      <c r="A382">
        <v>381</v>
      </c>
      <c r="B382" s="1">
        <v>45181</v>
      </c>
      <c r="C382">
        <v>146</v>
      </c>
      <c r="D382" t="s">
        <v>19</v>
      </c>
      <c r="E382">
        <v>50</v>
      </c>
      <c r="F382" t="str" cm="1">
        <f t="array" ref="F382">_xlfn.IFS(E382&lt;18, "0-17",
     E382&lt;25, "18-24",
     E382&lt;35, "25-34",
     E382&lt;45, "35-44",
     E382&lt;55, "45-54",
     E382&lt;65, "55-64",
     TRUE, "65+")</f>
        <v>45-54</v>
      </c>
      <c r="G382" t="s">
        <v>28</v>
      </c>
      <c r="H382" t="s">
        <v>43</v>
      </c>
      <c r="I382" s="2">
        <v>14.99</v>
      </c>
      <c r="J382">
        <v>2</v>
      </c>
      <c r="K382" s="2">
        <v>29.98</v>
      </c>
      <c r="L382" t="s">
        <v>17</v>
      </c>
      <c r="M382" t="s">
        <v>18</v>
      </c>
      <c r="N382">
        <v>5.5</v>
      </c>
    </row>
    <row r="383" spans="1:14">
      <c r="A383">
        <v>382</v>
      </c>
      <c r="B383" s="1">
        <v>45184</v>
      </c>
      <c r="C383">
        <v>172</v>
      </c>
      <c r="D383" t="s">
        <v>14</v>
      </c>
      <c r="E383">
        <v>29</v>
      </c>
      <c r="F383" t="str" cm="1">
        <f t="array" ref="F383">_xlfn.IFS(E383&lt;18, "0-17",
     E383&lt;25, "18-24",
     E383&lt;35, "25-34",
     E383&lt;45, "35-44",
     E383&lt;55, "45-54",
     E383&lt;65, "55-64",
     TRUE, "65+")</f>
        <v>25-34</v>
      </c>
      <c r="G383" t="s">
        <v>20</v>
      </c>
      <c r="H383" t="s">
        <v>21</v>
      </c>
      <c r="I383" s="2">
        <v>49.99</v>
      </c>
      <c r="J383">
        <v>1</v>
      </c>
      <c r="K383" s="2">
        <v>49.99</v>
      </c>
      <c r="L383" t="s">
        <v>17</v>
      </c>
      <c r="M383" t="s">
        <v>18</v>
      </c>
      <c r="N383">
        <v>6.2</v>
      </c>
    </row>
    <row r="384" spans="1:14">
      <c r="A384">
        <v>383</v>
      </c>
      <c r="B384" s="1">
        <v>45187</v>
      </c>
      <c r="C384">
        <v>177</v>
      </c>
      <c r="D384" t="s">
        <v>19</v>
      </c>
      <c r="E384">
        <v>58</v>
      </c>
      <c r="F384" t="str" cm="1">
        <f t="array" ref="F384">_xlfn.IFS(E384&lt;18, "0-17",
     E384&lt;25, "18-24",
     E384&lt;35, "25-34",
     E384&lt;45, "35-44",
     E384&lt;55, "45-54",
     E384&lt;65, "55-64",
     TRUE, "65+")</f>
        <v>55-64</v>
      </c>
      <c r="G384" t="s">
        <v>15</v>
      </c>
      <c r="H384" t="s">
        <v>38</v>
      </c>
      <c r="I384" s="2">
        <v>89.99</v>
      </c>
      <c r="J384">
        <v>2</v>
      </c>
      <c r="K384" s="2">
        <v>179.98</v>
      </c>
      <c r="L384" t="s">
        <v>22</v>
      </c>
      <c r="M384" t="s">
        <v>18</v>
      </c>
      <c r="N384">
        <v>5.5</v>
      </c>
    </row>
    <row r="385" spans="1:14">
      <c r="A385">
        <v>384</v>
      </c>
      <c r="B385" s="1">
        <v>45189</v>
      </c>
      <c r="C385">
        <v>162</v>
      </c>
      <c r="D385" t="s">
        <v>14</v>
      </c>
      <c r="E385">
        <v>44</v>
      </c>
      <c r="F385" t="str" cm="1">
        <f t="array" ref="F385">_xlfn.IFS(E385&lt;18, "0-17",
     E385&lt;25, "18-24",
     E385&lt;35, "25-34",
     E385&lt;45, "35-44",
     E385&lt;55, "45-54",
     E385&lt;65, "55-64",
     TRUE, "65+")</f>
        <v>35-44</v>
      </c>
      <c r="G385" t="s">
        <v>23</v>
      </c>
      <c r="H385" t="s">
        <v>33</v>
      </c>
      <c r="I385" s="2">
        <v>39.99</v>
      </c>
      <c r="J385">
        <v>3</v>
      </c>
      <c r="K385" s="2">
        <v>119.97</v>
      </c>
      <c r="L385" t="s">
        <v>17</v>
      </c>
      <c r="M385" t="s">
        <v>26</v>
      </c>
      <c r="N385">
        <v>4.9000000000000004</v>
      </c>
    </row>
    <row r="386" spans="1:14">
      <c r="A386">
        <v>385</v>
      </c>
      <c r="B386" s="1">
        <v>45191</v>
      </c>
      <c r="C386">
        <v>197</v>
      </c>
      <c r="D386" t="s">
        <v>19</v>
      </c>
      <c r="E386">
        <v>33</v>
      </c>
      <c r="F386" t="str" cm="1">
        <f t="array" ref="F386">_xlfn.IFS(E386&lt;18, "0-17",
     E386&lt;25, "18-24",
     E386&lt;35, "25-34",
     E386&lt;45, "35-44",
     E386&lt;55, "45-54",
     E386&lt;65, "55-64",
     TRUE, "65+")</f>
        <v>25-34</v>
      </c>
      <c r="G386" t="s">
        <v>28</v>
      </c>
      <c r="H386" t="s">
        <v>50</v>
      </c>
      <c r="I386" s="2">
        <v>51.99</v>
      </c>
      <c r="J386">
        <v>1</v>
      </c>
      <c r="K386" s="2">
        <v>51.99</v>
      </c>
      <c r="L386" t="s">
        <v>17</v>
      </c>
      <c r="M386" t="s">
        <v>18</v>
      </c>
      <c r="N386">
        <v>8.6</v>
      </c>
    </row>
    <row r="387" spans="1:14">
      <c r="A387">
        <v>386</v>
      </c>
      <c r="B387" s="1">
        <v>45194</v>
      </c>
      <c r="C387">
        <v>143</v>
      </c>
      <c r="D387" t="s">
        <v>14</v>
      </c>
      <c r="E387">
        <v>27</v>
      </c>
      <c r="F387" t="str" cm="1">
        <f t="array" ref="F387">_xlfn.IFS(E387&lt;18, "0-17",
     E387&lt;25, "18-24",
     E387&lt;35, "25-34",
     E387&lt;45, "35-44",
     E387&lt;55, "45-54",
     E387&lt;65, "55-64",
     TRUE, "65+")</f>
        <v>25-34</v>
      </c>
      <c r="G387" t="s">
        <v>20</v>
      </c>
      <c r="H387" t="s">
        <v>44</v>
      </c>
      <c r="I387" s="2">
        <v>10.99</v>
      </c>
      <c r="J387">
        <v>4</v>
      </c>
      <c r="K387" s="2">
        <v>43.96</v>
      </c>
      <c r="L387" t="s">
        <v>17</v>
      </c>
      <c r="M387" t="s">
        <v>18</v>
      </c>
      <c r="N387">
        <v>0.6</v>
      </c>
    </row>
    <row r="388" spans="1:14">
      <c r="A388">
        <v>387</v>
      </c>
      <c r="B388" s="1">
        <v>45197</v>
      </c>
      <c r="C388">
        <v>108</v>
      </c>
      <c r="D388" t="s">
        <v>19</v>
      </c>
      <c r="E388">
        <v>45</v>
      </c>
      <c r="F388" t="str" cm="1">
        <f t="array" ref="F388">_xlfn.IFS(E388&lt;18, "0-17",
     E388&lt;25, "18-24",
     E388&lt;35, "25-34",
     E388&lt;45, "35-44",
     E388&lt;55, "45-54",
     E388&lt;65, "55-64",
     TRUE, "65+")</f>
        <v>45-54</v>
      </c>
      <c r="G388" t="s">
        <v>15</v>
      </c>
      <c r="H388" t="s">
        <v>42</v>
      </c>
      <c r="I388" s="2">
        <v>199.99</v>
      </c>
      <c r="J388">
        <v>1</v>
      </c>
      <c r="K388" s="2">
        <v>199.99</v>
      </c>
      <c r="L388" t="s">
        <v>17</v>
      </c>
      <c r="M388" t="s">
        <v>18</v>
      </c>
      <c r="N388">
        <v>1.5</v>
      </c>
    </row>
    <row r="389" spans="1:14">
      <c r="A389">
        <v>388</v>
      </c>
      <c r="B389" s="1">
        <v>45199</v>
      </c>
      <c r="C389">
        <v>117</v>
      </c>
      <c r="D389" t="s">
        <v>14</v>
      </c>
      <c r="E389">
        <v>39</v>
      </c>
      <c r="F389" t="str" cm="1">
        <f t="array" ref="F389">_xlfn.IFS(E389&lt;18, "0-17",
     E389&lt;25, "18-24",
     E389&lt;35, "25-34",
     E389&lt;45, "35-44",
     E389&lt;55, "45-54",
     E389&lt;65, "55-64",
     TRUE, "65+")</f>
        <v>35-44</v>
      </c>
      <c r="G389" t="s">
        <v>23</v>
      </c>
      <c r="H389" t="s">
        <v>24</v>
      </c>
      <c r="I389" s="2">
        <v>34.99</v>
      </c>
      <c r="J389">
        <v>2</v>
      </c>
      <c r="K389" s="2">
        <v>69.98</v>
      </c>
      <c r="L389" t="s">
        <v>25</v>
      </c>
      <c r="M389" t="s">
        <v>18</v>
      </c>
      <c r="N389">
        <v>6.5</v>
      </c>
    </row>
    <row r="390" spans="1:14">
      <c r="A390">
        <v>389</v>
      </c>
      <c r="B390" s="1">
        <v>45202</v>
      </c>
      <c r="C390">
        <v>127</v>
      </c>
      <c r="D390" t="s">
        <v>19</v>
      </c>
      <c r="E390">
        <v>32</v>
      </c>
      <c r="F390" t="str" cm="1">
        <f t="array" ref="F390">_xlfn.IFS(E390&lt;18, "0-17",
     E390&lt;25, "18-24",
     E390&lt;35, "25-34",
     E390&lt;45, "35-44",
     E390&lt;55, "45-54",
     E390&lt;65, "55-64",
     TRUE, "65+")</f>
        <v>25-34</v>
      </c>
      <c r="G390" t="s">
        <v>28</v>
      </c>
      <c r="H390" t="s">
        <v>39</v>
      </c>
      <c r="I390" s="2">
        <v>9.99</v>
      </c>
      <c r="J390">
        <v>3</v>
      </c>
      <c r="K390" s="2">
        <v>29.97</v>
      </c>
      <c r="L390" t="s">
        <v>17</v>
      </c>
      <c r="M390" t="s">
        <v>26</v>
      </c>
      <c r="N390">
        <v>6.5</v>
      </c>
    </row>
    <row r="391" spans="1:14">
      <c r="A391">
        <v>390</v>
      </c>
      <c r="B391" s="1">
        <v>45204</v>
      </c>
      <c r="C391">
        <v>164</v>
      </c>
      <c r="D391" t="s">
        <v>14</v>
      </c>
      <c r="E391">
        <v>51</v>
      </c>
      <c r="F391" t="str" cm="1">
        <f t="array" ref="F391">_xlfn.IFS(E391&lt;18, "0-17",
     E391&lt;25, "18-24",
     E391&lt;35, "25-34",
     E391&lt;45, "35-44",
     E391&lt;55, "45-54",
     E391&lt;65, "55-64",
     TRUE, "65+")</f>
        <v>45-54</v>
      </c>
      <c r="G391" t="s">
        <v>20</v>
      </c>
      <c r="H391" t="s">
        <v>32</v>
      </c>
      <c r="I391" s="2">
        <v>59.99</v>
      </c>
      <c r="J391">
        <v>2</v>
      </c>
      <c r="K391" s="2">
        <v>119.98</v>
      </c>
      <c r="L391" t="s">
        <v>17</v>
      </c>
      <c r="M391" t="s">
        <v>18</v>
      </c>
      <c r="N391">
        <v>5.6</v>
      </c>
    </row>
    <row r="392" spans="1:14">
      <c r="A392">
        <v>391</v>
      </c>
      <c r="B392" s="1">
        <v>45207</v>
      </c>
      <c r="C392">
        <v>164</v>
      </c>
      <c r="D392" t="s">
        <v>19</v>
      </c>
      <c r="E392">
        <v>41</v>
      </c>
      <c r="F392" t="str" cm="1">
        <f t="array" ref="F392">_xlfn.IFS(E392&lt;18, "0-17",
     E392&lt;25, "18-24",
     E392&lt;35, "25-34",
     E392&lt;45, "35-44",
     E392&lt;55, "45-54",
     E392&lt;65, "55-64",
     TRUE, "65+")</f>
        <v>35-44</v>
      </c>
      <c r="G392" t="s">
        <v>15</v>
      </c>
      <c r="H392" t="s">
        <v>46</v>
      </c>
      <c r="I392" s="2">
        <v>89.99</v>
      </c>
      <c r="J392">
        <v>1</v>
      </c>
      <c r="K392" s="2">
        <v>89.99</v>
      </c>
      <c r="L392" t="s">
        <v>17</v>
      </c>
      <c r="M392" t="s">
        <v>18</v>
      </c>
      <c r="N392">
        <v>5.6</v>
      </c>
    </row>
    <row r="393" spans="1:14">
      <c r="A393">
        <v>392</v>
      </c>
      <c r="B393" s="1">
        <v>45209</v>
      </c>
      <c r="C393">
        <v>167</v>
      </c>
      <c r="D393" t="s">
        <v>14</v>
      </c>
      <c r="E393">
        <v>55</v>
      </c>
      <c r="F393" t="str" cm="1">
        <f t="array" ref="F393">_xlfn.IFS(E393&lt;18, "0-17",
     E393&lt;25, "18-24",
     E393&lt;35, "25-34",
     E393&lt;45, "35-44",
     E393&lt;55, "45-54",
     E393&lt;65, "55-64",
     TRUE, "65+")</f>
        <v>55-64</v>
      </c>
      <c r="G393" t="s">
        <v>23</v>
      </c>
      <c r="H393" t="s">
        <v>37</v>
      </c>
      <c r="I393" s="2">
        <v>23.99</v>
      </c>
      <c r="J393">
        <v>4</v>
      </c>
      <c r="K393" s="2">
        <v>95.96</v>
      </c>
      <c r="L393" t="s">
        <v>17</v>
      </c>
      <c r="M393" t="s">
        <v>18</v>
      </c>
      <c r="N393">
        <v>7.9</v>
      </c>
    </row>
    <row r="394" spans="1:14">
      <c r="A394">
        <v>393</v>
      </c>
      <c r="B394" s="1">
        <v>45211</v>
      </c>
      <c r="C394">
        <v>114</v>
      </c>
      <c r="D394" t="s">
        <v>19</v>
      </c>
      <c r="E394">
        <v>36</v>
      </c>
      <c r="F394" t="str" cm="1">
        <f t="array" ref="F394">_xlfn.IFS(E394&lt;18, "0-17",
     E394&lt;25, "18-24",
     E394&lt;35, "25-34",
     E394&lt;45, "35-44",
     E394&lt;55, "45-54",
     E394&lt;65, "55-64",
     TRUE, "65+")</f>
        <v>35-44</v>
      </c>
      <c r="G394" t="s">
        <v>28</v>
      </c>
      <c r="H394" t="s">
        <v>29</v>
      </c>
      <c r="I394" s="2">
        <v>44.99</v>
      </c>
      <c r="J394">
        <v>2</v>
      </c>
      <c r="K394" s="2">
        <v>89.98</v>
      </c>
      <c r="L394" t="s">
        <v>17</v>
      </c>
      <c r="M394" t="s">
        <v>18</v>
      </c>
      <c r="N394">
        <v>1.9</v>
      </c>
    </row>
    <row r="395" spans="1:14">
      <c r="A395">
        <v>394</v>
      </c>
      <c r="B395" s="1">
        <v>45214</v>
      </c>
      <c r="C395">
        <v>102</v>
      </c>
      <c r="D395" t="s">
        <v>14</v>
      </c>
      <c r="E395">
        <v>48</v>
      </c>
      <c r="F395" t="str" cm="1">
        <f t="array" ref="F395">_xlfn.IFS(E395&lt;18, "0-17",
     E395&lt;25, "18-24",
     E395&lt;35, "25-34",
     E395&lt;45, "35-44",
     E395&lt;55, "45-54",
     E395&lt;65, "55-64",
     TRUE, "65+")</f>
        <v>45-54</v>
      </c>
      <c r="G395" t="s">
        <v>20</v>
      </c>
      <c r="H395" t="s">
        <v>40</v>
      </c>
      <c r="I395" s="2">
        <v>95.99</v>
      </c>
      <c r="J395">
        <v>1</v>
      </c>
      <c r="K395" s="2">
        <v>95.99</v>
      </c>
      <c r="L395" t="s">
        <v>22</v>
      </c>
      <c r="M395" t="s">
        <v>18</v>
      </c>
      <c r="N395">
        <v>6.3</v>
      </c>
    </row>
    <row r="396" spans="1:14">
      <c r="A396">
        <v>395</v>
      </c>
      <c r="B396" s="1">
        <v>45217</v>
      </c>
      <c r="C396">
        <v>126</v>
      </c>
      <c r="D396" t="s">
        <v>19</v>
      </c>
      <c r="E396">
        <v>29</v>
      </c>
      <c r="F396" t="str" cm="1">
        <f t="array" ref="F396">_xlfn.IFS(E396&lt;18, "0-17",
     E396&lt;25, "18-24",
     E396&lt;35, "25-34",
     E396&lt;45, "35-44",
     E396&lt;55, "45-54",
     E396&lt;65, "55-64",
     TRUE, "65+")</f>
        <v>25-34</v>
      </c>
      <c r="G396" t="s">
        <v>15</v>
      </c>
      <c r="H396" t="s">
        <v>16</v>
      </c>
      <c r="I396" s="2">
        <v>59.99</v>
      </c>
      <c r="J396">
        <v>2</v>
      </c>
      <c r="K396" s="2">
        <v>119.98</v>
      </c>
      <c r="L396" t="s">
        <v>17</v>
      </c>
      <c r="M396" t="s">
        <v>26</v>
      </c>
      <c r="N396">
        <v>3.1</v>
      </c>
    </row>
    <row r="397" spans="1:14">
      <c r="A397">
        <v>396</v>
      </c>
      <c r="B397" s="1">
        <v>45219</v>
      </c>
      <c r="C397">
        <v>112</v>
      </c>
      <c r="D397" t="s">
        <v>14</v>
      </c>
      <c r="E397">
        <v>59</v>
      </c>
      <c r="F397" t="str" cm="1">
        <f t="array" ref="F397">_xlfn.IFS(E397&lt;18, "0-17",
     E397&lt;25, "18-24",
     E397&lt;35, "25-34",
     E397&lt;45, "35-44",
     E397&lt;55, "45-54",
     E397&lt;65, "55-64",
     TRUE, "65+")</f>
        <v>55-64</v>
      </c>
      <c r="G397" t="s">
        <v>23</v>
      </c>
      <c r="H397" t="s">
        <v>41</v>
      </c>
      <c r="I397" s="2">
        <v>149.99</v>
      </c>
      <c r="J397">
        <v>1</v>
      </c>
      <c r="K397" s="2">
        <v>149.99</v>
      </c>
      <c r="L397" t="s">
        <v>17</v>
      </c>
      <c r="M397" t="s">
        <v>18</v>
      </c>
      <c r="N397">
        <v>8.6999999999999993</v>
      </c>
    </row>
    <row r="398" spans="1:14">
      <c r="A398">
        <v>397</v>
      </c>
      <c r="B398" s="1">
        <v>45221</v>
      </c>
      <c r="C398">
        <v>119</v>
      </c>
      <c r="D398" t="s">
        <v>19</v>
      </c>
      <c r="E398">
        <v>27</v>
      </c>
      <c r="F398" t="str" cm="1">
        <f t="array" ref="F398">_xlfn.IFS(E398&lt;18, "0-17",
     E398&lt;25, "18-24",
     E398&lt;35, "25-34",
     E398&lt;45, "35-44",
     E398&lt;55, "45-54",
     E398&lt;65, "55-64",
     TRUE, "65+")</f>
        <v>25-34</v>
      </c>
      <c r="G398" t="s">
        <v>28</v>
      </c>
      <c r="H398" t="s">
        <v>35</v>
      </c>
      <c r="I398" s="2">
        <v>17.989999999999998</v>
      </c>
      <c r="J398">
        <v>2</v>
      </c>
      <c r="K398" s="2">
        <v>35.979999999999997</v>
      </c>
      <c r="L398" t="s">
        <v>17</v>
      </c>
      <c r="M398" t="s">
        <v>18</v>
      </c>
      <c r="N398">
        <v>3.6</v>
      </c>
    </row>
    <row r="399" spans="1:14">
      <c r="A399">
        <v>398</v>
      </c>
      <c r="B399" s="1">
        <v>45224</v>
      </c>
      <c r="C399">
        <v>119</v>
      </c>
      <c r="D399" t="s">
        <v>14</v>
      </c>
      <c r="E399">
        <v>42</v>
      </c>
      <c r="F399" t="str" cm="1">
        <f t="array" ref="F399">_xlfn.IFS(E399&lt;18, "0-17",
     E399&lt;25, "18-24",
     E399&lt;35, "25-34",
     E399&lt;45, "35-44",
     E399&lt;55, "45-54",
     E399&lt;65, "55-64",
     TRUE, "65+")</f>
        <v>35-44</v>
      </c>
      <c r="G399" t="s">
        <v>20</v>
      </c>
      <c r="H399" t="s">
        <v>32</v>
      </c>
      <c r="I399" s="2">
        <v>64.989999999999995</v>
      </c>
      <c r="J399">
        <v>1</v>
      </c>
      <c r="K399" s="2">
        <v>64.989999999999995</v>
      </c>
      <c r="L399" t="s">
        <v>17</v>
      </c>
      <c r="M399" t="s">
        <v>18</v>
      </c>
      <c r="N399">
        <v>3.6</v>
      </c>
    </row>
    <row r="400" spans="1:14">
      <c r="A400">
        <v>399</v>
      </c>
      <c r="B400" s="1">
        <v>45227</v>
      </c>
      <c r="C400">
        <v>138</v>
      </c>
      <c r="D400" t="s">
        <v>19</v>
      </c>
      <c r="E400">
        <v>61</v>
      </c>
      <c r="F400" t="str" cm="1">
        <f t="array" ref="F400">_xlfn.IFS(E400&lt;18, "0-17",
     E400&lt;25, "18-24",
     E400&lt;35, "25-34",
     E400&lt;45, "35-44",
     E400&lt;55, "45-54",
     E400&lt;65, "55-64",
     TRUE, "65+")</f>
        <v>55-64</v>
      </c>
      <c r="G400" t="s">
        <v>15</v>
      </c>
      <c r="H400" t="s">
        <v>34</v>
      </c>
      <c r="I400" s="2">
        <v>18.989999999999998</v>
      </c>
      <c r="J400">
        <v>2</v>
      </c>
      <c r="K400" s="2">
        <v>37.979999999999997</v>
      </c>
      <c r="L400" t="s">
        <v>31</v>
      </c>
      <c r="M400" t="s">
        <v>18</v>
      </c>
      <c r="N400">
        <v>2.8</v>
      </c>
    </row>
    <row r="401" spans="1:14">
      <c r="A401">
        <v>400</v>
      </c>
      <c r="B401" s="1">
        <v>45229</v>
      </c>
      <c r="C401">
        <v>105</v>
      </c>
      <c r="D401" t="s">
        <v>14</v>
      </c>
      <c r="E401">
        <v>36</v>
      </c>
      <c r="F401" t="str" cm="1">
        <f t="array" ref="F401">_xlfn.IFS(E401&lt;18, "0-17",
     E401&lt;25, "18-24",
     E401&lt;35, "25-34",
     E401&lt;45, "35-44",
     E401&lt;55, "45-54",
     E401&lt;65, "55-64",
     TRUE, "65+")</f>
        <v>35-44</v>
      </c>
      <c r="G401" t="s">
        <v>23</v>
      </c>
      <c r="H401" t="s">
        <v>49</v>
      </c>
      <c r="I401" s="2">
        <v>27.99</v>
      </c>
      <c r="J401">
        <v>3</v>
      </c>
      <c r="K401" s="2">
        <v>83.97</v>
      </c>
      <c r="L401" t="s">
        <v>17</v>
      </c>
      <c r="M401" t="s">
        <v>26</v>
      </c>
      <c r="N401">
        <v>3.7</v>
      </c>
    </row>
    <row r="402" spans="1:14">
      <c r="A402">
        <v>401</v>
      </c>
      <c r="B402" s="1">
        <v>45232</v>
      </c>
      <c r="C402">
        <v>109</v>
      </c>
      <c r="D402" t="s">
        <v>19</v>
      </c>
      <c r="E402">
        <v>30</v>
      </c>
      <c r="F402" t="str" cm="1">
        <f t="array" ref="F402">_xlfn.IFS(E402&lt;18, "0-17",
     E402&lt;25, "18-24",
     E402&lt;35, "25-34",
     E402&lt;45, "35-44",
     E402&lt;55, "45-54",
     E402&lt;65, "55-64",
     TRUE, "65+")</f>
        <v>25-34</v>
      </c>
      <c r="G402" t="s">
        <v>28</v>
      </c>
      <c r="H402" t="s">
        <v>43</v>
      </c>
      <c r="I402" s="2">
        <v>15.99</v>
      </c>
      <c r="J402">
        <v>3</v>
      </c>
      <c r="K402" s="2">
        <v>47.97</v>
      </c>
      <c r="L402" t="s">
        <v>17</v>
      </c>
      <c r="M402" t="s">
        <v>18</v>
      </c>
      <c r="N402">
        <v>0.3</v>
      </c>
    </row>
    <row r="403" spans="1:14">
      <c r="A403">
        <v>402</v>
      </c>
      <c r="B403" s="1">
        <v>45235</v>
      </c>
      <c r="C403">
        <v>110</v>
      </c>
      <c r="D403" t="s">
        <v>14</v>
      </c>
      <c r="E403">
        <v>46</v>
      </c>
      <c r="F403" t="str" cm="1">
        <f t="array" ref="F403">_xlfn.IFS(E403&lt;18, "0-17",
     E403&lt;25, "18-24",
     E403&lt;35, "25-34",
     E403&lt;45, "35-44",
     E403&lt;55, "45-54",
     E403&lt;65, "55-64",
     TRUE, "65+")</f>
        <v>45-54</v>
      </c>
      <c r="G403" t="s">
        <v>20</v>
      </c>
      <c r="H403" t="s">
        <v>21</v>
      </c>
      <c r="I403" s="2">
        <v>39.99</v>
      </c>
      <c r="J403">
        <v>3</v>
      </c>
      <c r="K403" s="2">
        <v>119.97</v>
      </c>
      <c r="L403" t="s">
        <v>17</v>
      </c>
      <c r="M403" t="s">
        <v>18</v>
      </c>
      <c r="N403">
        <v>0.8</v>
      </c>
    </row>
    <row r="404" spans="1:14">
      <c r="A404">
        <v>403</v>
      </c>
      <c r="B404" s="1">
        <v>45238</v>
      </c>
      <c r="C404">
        <v>172</v>
      </c>
      <c r="D404" t="s">
        <v>19</v>
      </c>
      <c r="E404">
        <v>35</v>
      </c>
      <c r="F404" t="str" cm="1">
        <f t="array" ref="F404">_xlfn.IFS(E404&lt;18, "0-17",
     E404&lt;25, "18-24",
     E404&lt;35, "25-34",
     E404&lt;45, "35-44",
     E404&lt;55, "45-54",
     E404&lt;65, "55-64",
     TRUE, "65+")</f>
        <v>35-44</v>
      </c>
      <c r="G404" t="s">
        <v>15</v>
      </c>
      <c r="H404" t="s">
        <v>38</v>
      </c>
      <c r="I404" s="2">
        <v>99.99</v>
      </c>
      <c r="J404">
        <v>1</v>
      </c>
      <c r="K404" s="2">
        <v>99.99</v>
      </c>
      <c r="L404" t="s">
        <v>17</v>
      </c>
      <c r="M404" t="s">
        <v>18</v>
      </c>
      <c r="N404">
        <v>6.2</v>
      </c>
    </row>
    <row r="405" spans="1:14">
      <c r="A405">
        <v>404</v>
      </c>
      <c r="B405" s="1">
        <v>45240</v>
      </c>
      <c r="C405">
        <v>103</v>
      </c>
      <c r="D405" t="s">
        <v>14</v>
      </c>
      <c r="E405">
        <v>32</v>
      </c>
      <c r="F405" t="str" cm="1">
        <f t="array" ref="F405">_xlfn.IFS(E405&lt;18, "0-17",
     E405&lt;25, "18-24",
     E405&lt;35, "25-34",
     E405&lt;45, "35-44",
     E405&lt;55, "45-54",
     E405&lt;65, "55-64",
     TRUE, "65+")</f>
        <v>25-34</v>
      </c>
      <c r="G405" t="s">
        <v>23</v>
      </c>
      <c r="H405" t="s">
        <v>45</v>
      </c>
      <c r="I405" s="2">
        <v>55.99</v>
      </c>
      <c r="J405">
        <v>2</v>
      </c>
      <c r="K405" s="2">
        <v>111.98</v>
      </c>
      <c r="L405" t="s">
        <v>17</v>
      </c>
      <c r="M405" t="s">
        <v>18</v>
      </c>
      <c r="N405">
        <v>4.5999999999999996</v>
      </c>
    </row>
    <row r="406" spans="1:14">
      <c r="A406">
        <v>405</v>
      </c>
      <c r="B406" s="1">
        <v>45242</v>
      </c>
      <c r="C406">
        <v>132</v>
      </c>
      <c r="D406" t="s">
        <v>19</v>
      </c>
      <c r="E406">
        <v>53</v>
      </c>
      <c r="F406" t="str" cm="1">
        <f t="array" ref="F406">_xlfn.IFS(E406&lt;18, "0-17",
     E406&lt;25, "18-24",
     E406&lt;35, "25-34",
     E406&lt;45, "35-44",
     E406&lt;55, "45-54",
     E406&lt;65, "55-64",
     TRUE, "65+")</f>
        <v>45-54</v>
      </c>
      <c r="G406" t="s">
        <v>28</v>
      </c>
      <c r="H406" t="s">
        <v>50</v>
      </c>
      <c r="I406" s="2">
        <v>49.99</v>
      </c>
      <c r="J406">
        <v>2</v>
      </c>
      <c r="K406" s="2">
        <v>99.98</v>
      </c>
      <c r="L406" t="s">
        <v>22</v>
      </c>
      <c r="M406" t="s">
        <v>18</v>
      </c>
      <c r="N406">
        <v>9.4</v>
      </c>
    </row>
    <row r="407" spans="1:14">
      <c r="A407">
        <v>406</v>
      </c>
      <c r="B407" s="1">
        <v>45245</v>
      </c>
      <c r="C407">
        <v>146</v>
      </c>
      <c r="D407" t="s">
        <v>14</v>
      </c>
      <c r="E407">
        <v>43</v>
      </c>
      <c r="F407" t="str" cm="1">
        <f t="array" ref="F407">_xlfn.IFS(E407&lt;18, "0-17",
     E407&lt;25, "18-24",
     E407&lt;35, "25-34",
     E407&lt;45, "35-44",
     E407&lt;55, "45-54",
     E407&lt;65, "55-64",
     TRUE, "65+")</f>
        <v>35-44</v>
      </c>
      <c r="G407" t="s">
        <v>20</v>
      </c>
      <c r="H407" t="s">
        <v>44</v>
      </c>
      <c r="I407" s="2">
        <v>11.99</v>
      </c>
      <c r="J407">
        <v>5</v>
      </c>
      <c r="K407" s="2">
        <v>59.95</v>
      </c>
      <c r="L407" t="s">
        <v>17</v>
      </c>
      <c r="M407" t="s">
        <v>26</v>
      </c>
      <c r="N407">
        <v>5.5</v>
      </c>
    </row>
    <row r="408" spans="1:14">
      <c r="A408">
        <v>407</v>
      </c>
      <c r="B408" s="1">
        <v>45248</v>
      </c>
      <c r="C408">
        <v>132</v>
      </c>
      <c r="D408" t="s">
        <v>19</v>
      </c>
      <c r="E408">
        <v>38</v>
      </c>
      <c r="F408" t="str" cm="1">
        <f t="array" ref="F408">_xlfn.IFS(E408&lt;18, "0-17",
     E408&lt;25, "18-24",
     E408&lt;35, "25-34",
     E408&lt;45, "35-44",
     E408&lt;55, "45-54",
     E408&lt;65, "55-64",
     TRUE, "65+")</f>
        <v>35-44</v>
      </c>
      <c r="G408" t="s">
        <v>15</v>
      </c>
      <c r="H408" t="s">
        <v>46</v>
      </c>
      <c r="I408" s="2">
        <v>79.989999999999995</v>
      </c>
      <c r="J408">
        <v>1</v>
      </c>
      <c r="K408" s="2">
        <v>79.989999999999995</v>
      </c>
      <c r="L408" t="s">
        <v>17</v>
      </c>
      <c r="M408" t="s">
        <v>18</v>
      </c>
      <c r="N408">
        <v>9.4</v>
      </c>
    </row>
    <row r="409" spans="1:14">
      <c r="A409">
        <v>408</v>
      </c>
      <c r="B409" s="1">
        <v>45250</v>
      </c>
      <c r="C409">
        <v>122</v>
      </c>
      <c r="D409" t="s">
        <v>14</v>
      </c>
      <c r="E409">
        <v>54</v>
      </c>
      <c r="F409" t="str" cm="1">
        <f t="array" ref="F409">_xlfn.IFS(E409&lt;18, "0-17",
     E409&lt;25, "18-24",
     E409&lt;35, "25-34",
     E409&lt;45, "35-44",
     E409&lt;55, "45-54",
     E409&lt;65, "55-64",
     TRUE, "65+")</f>
        <v>45-54</v>
      </c>
      <c r="G409" t="s">
        <v>23</v>
      </c>
      <c r="H409" t="s">
        <v>37</v>
      </c>
      <c r="I409" s="2">
        <v>24.99</v>
      </c>
      <c r="J409">
        <v>3</v>
      </c>
      <c r="K409" s="2">
        <v>74.97</v>
      </c>
      <c r="L409" t="s">
        <v>17</v>
      </c>
      <c r="M409" t="s">
        <v>18</v>
      </c>
      <c r="N409">
        <v>5.6</v>
      </c>
    </row>
    <row r="410" spans="1:14">
      <c r="A410">
        <v>409</v>
      </c>
      <c r="B410" s="1">
        <v>45252</v>
      </c>
      <c r="C410">
        <v>190</v>
      </c>
      <c r="D410" t="s">
        <v>19</v>
      </c>
      <c r="E410">
        <v>63</v>
      </c>
      <c r="F410" t="str" cm="1">
        <f t="array" ref="F410">_xlfn.IFS(E410&lt;18, "0-17",
     E410&lt;25, "18-24",
     E410&lt;35, "25-34",
     E410&lt;45, "35-44",
     E410&lt;55, "45-54",
     E410&lt;65, "55-64",
     TRUE, "65+")</f>
        <v>55-64</v>
      </c>
      <c r="G410" t="s">
        <v>28</v>
      </c>
      <c r="H410" t="s">
        <v>39</v>
      </c>
      <c r="I410" s="2">
        <v>8.99</v>
      </c>
      <c r="J410">
        <v>4</v>
      </c>
      <c r="K410" s="2">
        <v>35.96</v>
      </c>
      <c r="L410" t="s">
        <v>17</v>
      </c>
      <c r="M410" t="s">
        <v>18</v>
      </c>
      <c r="N410">
        <v>8.4</v>
      </c>
    </row>
    <row r="411" spans="1:14">
      <c r="A411">
        <v>410</v>
      </c>
      <c r="B411" s="1">
        <v>45255</v>
      </c>
      <c r="C411">
        <v>135</v>
      </c>
      <c r="D411" t="s">
        <v>14</v>
      </c>
      <c r="E411">
        <v>30</v>
      </c>
      <c r="F411" t="str" cm="1">
        <f t="array" ref="F411">_xlfn.IFS(E411&lt;18, "0-17",
     E411&lt;25, "18-24",
     E411&lt;35, "25-34",
     E411&lt;45, "35-44",
     E411&lt;55, "45-54",
     E411&lt;65, "55-64",
     TRUE, "65+")</f>
        <v>25-34</v>
      </c>
      <c r="G411" t="s">
        <v>20</v>
      </c>
      <c r="H411" t="s">
        <v>32</v>
      </c>
      <c r="I411" s="2">
        <v>69.989999999999995</v>
      </c>
      <c r="J411">
        <v>2</v>
      </c>
      <c r="K411" s="2">
        <v>139.97999999999999</v>
      </c>
      <c r="L411" t="s">
        <v>17</v>
      </c>
      <c r="M411" t="s">
        <v>18</v>
      </c>
      <c r="N411">
        <v>8</v>
      </c>
    </row>
    <row r="412" spans="1:14">
      <c r="A412">
        <v>411</v>
      </c>
      <c r="B412" s="1">
        <v>45258</v>
      </c>
      <c r="C412">
        <v>157</v>
      </c>
      <c r="D412" t="s">
        <v>19</v>
      </c>
      <c r="E412">
        <v>51</v>
      </c>
      <c r="F412" t="str" cm="1">
        <f t="array" ref="F412">_xlfn.IFS(E412&lt;18, "0-17",
     E412&lt;25, "18-24",
     E412&lt;35, "25-34",
     E412&lt;45, "35-44",
     E412&lt;55, "45-54",
     E412&lt;65, "55-64",
     TRUE, "65+")</f>
        <v>45-54</v>
      </c>
      <c r="G412" t="s">
        <v>15</v>
      </c>
      <c r="H412" t="s">
        <v>48</v>
      </c>
      <c r="I412" s="2">
        <v>29.99</v>
      </c>
      <c r="J412">
        <v>1</v>
      </c>
      <c r="K412" s="2">
        <v>29.99</v>
      </c>
      <c r="L412" t="s">
        <v>25</v>
      </c>
      <c r="M412" t="s">
        <v>18</v>
      </c>
      <c r="N412">
        <v>3.3</v>
      </c>
    </row>
    <row r="413" spans="1:14">
      <c r="A413">
        <v>412</v>
      </c>
      <c r="B413" s="1">
        <v>45260</v>
      </c>
      <c r="C413">
        <v>147</v>
      </c>
      <c r="D413" t="s">
        <v>14</v>
      </c>
      <c r="E413">
        <v>37</v>
      </c>
      <c r="F413" t="str" cm="1">
        <f t="array" ref="F413">_xlfn.IFS(E413&lt;18, "0-17",
     E413&lt;25, "18-24",
     E413&lt;35, "25-34",
     E413&lt;45, "35-44",
     E413&lt;55, "45-54",
     E413&lt;65, "55-64",
     TRUE, "65+")</f>
        <v>35-44</v>
      </c>
      <c r="G413" t="s">
        <v>23</v>
      </c>
      <c r="H413" t="s">
        <v>33</v>
      </c>
      <c r="I413" s="2">
        <v>44.99</v>
      </c>
      <c r="J413">
        <v>3</v>
      </c>
      <c r="K413" s="2">
        <v>134.97</v>
      </c>
      <c r="L413" t="s">
        <v>17</v>
      </c>
      <c r="M413" t="s">
        <v>26</v>
      </c>
      <c r="N413">
        <v>3.6</v>
      </c>
    </row>
    <row r="414" spans="1:14">
      <c r="A414">
        <v>413</v>
      </c>
      <c r="B414" s="1">
        <v>45263</v>
      </c>
      <c r="C414">
        <v>186</v>
      </c>
      <c r="D414" t="s">
        <v>19</v>
      </c>
      <c r="E414">
        <v>59</v>
      </c>
      <c r="F414" t="str" cm="1">
        <f t="array" ref="F414">_xlfn.IFS(E414&lt;18, "0-17",
     E414&lt;25, "18-24",
     E414&lt;35, "25-34",
     E414&lt;45, "35-44",
     E414&lt;55, "45-54",
     E414&lt;65, "55-64",
     TRUE, "65+")</f>
        <v>55-64</v>
      </c>
      <c r="G414" t="s">
        <v>28</v>
      </c>
      <c r="H414" t="s">
        <v>29</v>
      </c>
      <c r="I414" s="2">
        <v>38.99</v>
      </c>
      <c r="J414">
        <v>2</v>
      </c>
      <c r="K414" s="2">
        <v>77.98</v>
      </c>
      <c r="L414" t="s">
        <v>17</v>
      </c>
      <c r="M414" t="s">
        <v>18</v>
      </c>
      <c r="N414">
        <v>6.6</v>
      </c>
    </row>
    <row r="415" spans="1:14">
      <c r="A415">
        <v>414</v>
      </c>
      <c r="B415" s="1">
        <v>45265</v>
      </c>
      <c r="C415">
        <v>156</v>
      </c>
      <c r="D415" t="s">
        <v>14</v>
      </c>
      <c r="E415">
        <v>44</v>
      </c>
      <c r="F415" t="str" cm="1">
        <f t="array" ref="F415">_xlfn.IFS(E415&lt;18, "0-17",
     E415&lt;25, "18-24",
     E415&lt;35, "25-34",
     E415&lt;45, "35-44",
     E415&lt;55, "45-54",
     E415&lt;65, "55-64",
     TRUE, "65+")</f>
        <v>35-44</v>
      </c>
      <c r="G415" t="s">
        <v>20</v>
      </c>
      <c r="H415" t="s">
        <v>21</v>
      </c>
      <c r="I415" s="2">
        <v>44.99</v>
      </c>
      <c r="J415">
        <v>1</v>
      </c>
      <c r="K415" s="2">
        <v>44.99</v>
      </c>
      <c r="L415" t="s">
        <v>17</v>
      </c>
      <c r="M415" t="s">
        <v>18</v>
      </c>
      <c r="N415">
        <v>1.4</v>
      </c>
    </row>
    <row r="416" spans="1:14">
      <c r="A416">
        <v>415</v>
      </c>
      <c r="B416" s="1">
        <v>45268</v>
      </c>
      <c r="C416">
        <v>140</v>
      </c>
      <c r="D416" t="s">
        <v>19</v>
      </c>
      <c r="E416">
        <v>29</v>
      </c>
      <c r="F416" t="str" cm="1">
        <f t="array" ref="F416">_xlfn.IFS(E416&lt;18, "0-17",
     E416&lt;25, "18-24",
     E416&lt;35, "25-34",
     E416&lt;45, "35-44",
     E416&lt;55, "45-54",
     E416&lt;65, "55-64",
     TRUE, "65+")</f>
        <v>25-34</v>
      </c>
      <c r="G416" t="s">
        <v>15</v>
      </c>
      <c r="H416" t="s">
        <v>42</v>
      </c>
      <c r="I416" s="2">
        <v>219.99</v>
      </c>
      <c r="J416">
        <v>1</v>
      </c>
      <c r="K416" s="2">
        <v>219.99</v>
      </c>
      <c r="L416" t="s">
        <v>17</v>
      </c>
      <c r="M416" t="s">
        <v>18</v>
      </c>
      <c r="N416">
        <v>4.5</v>
      </c>
    </row>
    <row r="417" spans="1:14">
      <c r="A417">
        <v>416</v>
      </c>
      <c r="B417" s="1">
        <v>45270</v>
      </c>
      <c r="C417">
        <v>104</v>
      </c>
      <c r="D417" t="s">
        <v>14</v>
      </c>
      <c r="E417">
        <v>50</v>
      </c>
      <c r="F417" t="str" cm="1">
        <f t="array" ref="F417">_xlfn.IFS(E417&lt;18, "0-17",
     E417&lt;25, "18-24",
     E417&lt;35, "25-34",
     E417&lt;45, "35-44",
     E417&lt;55, "45-54",
     E417&lt;65, "55-64",
     TRUE, "65+")</f>
        <v>45-54</v>
      </c>
      <c r="G417" t="s">
        <v>23</v>
      </c>
      <c r="H417" t="s">
        <v>24</v>
      </c>
      <c r="I417" s="2">
        <v>31.99</v>
      </c>
      <c r="J417">
        <v>3</v>
      </c>
      <c r="K417" s="2">
        <v>95.97</v>
      </c>
      <c r="L417" t="s">
        <v>17</v>
      </c>
      <c r="M417" t="s">
        <v>18</v>
      </c>
      <c r="N417">
        <v>1.4</v>
      </c>
    </row>
    <row r="418" spans="1:14">
      <c r="A418">
        <v>417</v>
      </c>
      <c r="B418" s="1">
        <v>45272</v>
      </c>
      <c r="C418">
        <v>192</v>
      </c>
      <c r="D418" t="s">
        <v>19</v>
      </c>
      <c r="E418">
        <v>34</v>
      </c>
      <c r="F418" t="str" cm="1">
        <f t="array" ref="F418">_xlfn.IFS(E418&lt;18, "0-17",
     E418&lt;25, "18-24",
     E418&lt;35, "25-34",
     E418&lt;45, "35-44",
     E418&lt;55, "45-54",
     E418&lt;65, "55-64",
     TRUE, "65+")</f>
        <v>25-34</v>
      </c>
      <c r="G418" t="s">
        <v>28</v>
      </c>
      <c r="H418" t="s">
        <v>35</v>
      </c>
      <c r="I418" s="2">
        <v>16.989999999999998</v>
      </c>
      <c r="J418">
        <v>3</v>
      </c>
      <c r="K418" s="2">
        <v>50.97</v>
      </c>
      <c r="L418" t="s">
        <v>22</v>
      </c>
      <c r="M418" t="s">
        <v>18</v>
      </c>
      <c r="N418">
        <v>0</v>
      </c>
    </row>
    <row r="419" spans="1:14">
      <c r="A419">
        <v>418</v>
      </c>
      <c r="B419" s="1">
        <v>45275</v>
      </c>
      <c r="C419">
        <v>105</v>
      </c>
      <c r="D419" t="s">
        <v>14</v>
      </c>
      <c r="E419">
        <v>43</v>
      </c>
      <c r="F419" t="str" cm="1">
        <f t="array" ref="F419">_xlfn.IFS(E419&lt;18, "0-17",
     E419&lt;25, "18-24",
     E419&lt;35, "25-34",
     E419&lt;45, "35-44",
     E419&lt;55, "45-54",
     E419&lt;65, "55-64",
     TRUE, "65+")</f>
        <v>35-44</v>
      </c>
      <c r="G419" t="s">
        <v>20</v>
      </c>
      <c r="H419" t="s">
        <v>36</v>
      </c>
      <c r="I419" s="2">
        <v>84.99</v>
      </c>
      <c r="J419">
        <v>2</v>
      </c>
      <c r="K419" s="2">
        <v>169.98</v>
      </c>
      <c r="L419" t="s">
        <v>17</v>
      </c>
      <c r="M419" t="s">
        <v>26</v>
      </c>
      <c r="N419">
        <v>3.7</v>
      </c>
    </row>
    <row r="420" spans="1:14">
      <c r="A420">
        <v>419</v>
      </c>
      <c r="B420" s="1">
        <v>45278</v>
      </c>
      <c r="C420">
        <v>179</v>
      </c>
      <c r="D420" t="s">
        <v>19</v>
      </c>
      <c r="E420">
        <v>56</v>
      </c>
      <c r="F420" t="str" cm="1">
        <f t="array" ref="F420">_xlfn.IFS(E420&lt;18, "0-17",
     E420&lt;25, "18-24",
     E420&lt;35, "25-34",
     E420&lt;45, "35-44",
     E420&lt;55, "45-54",
     E420&lt;65, "55-64",
     TRUE, "65+")</f>
        <v>55-64</v>
      </c>
      <c r="G420" t="s">
        <v>15</v>
      </c>
      <c r="H420" t="s">
        <v>16</v>
      </c>
      <c r="I420" s="2">
        <v>54.99</v>
      </c>
      <c r="J420">
        <v>2</v>
      </c>
      <c r="K420" s="2">
        <v>109.98</v>
      </c>
      <c r="L420" t="s">
        <v>17</v>
      </c>
      <c r="M420" t="s">
        <v>18</v>
      </c>
      <c r="N420">
        <v>9.8000000000000007</v>
      </c>
    </row>
    <row r="421" spans="1:14">
      <c r="A421">
        <v>420</v>
      </c>
      <c r="B421" s="1">
        <v>45280</v>
      </c>
      <c r="C421">
        <v>155</v>
      </c>
      <c r="D421" t="s">
        <v>14</v>
      </c>
      <c r="E421">
        <v>48</v>
      </c>
      <c r="F421" t="str" cm="1">
        <f t="array" ref="F421">_xlfn.IFS(E421&lt;18, "0-17",
     E421&lt;25, "18-24",
     E421&lt;35, "25-34",
     E421&lt;45, "35-44",
     E421&lt;55, "45-54",
     E421&lt;65, "55-64",
     TRUE, "65+")</f>
        <v>45-54</v>
      </c>
      <c r="G421" t="s">
        <v>23</v>
      </c>
      <c r="H421" t="s">
        <v>45</v>
      </c>
      <c r="I421" s="2">
        <v>65.989999999999995</v>
      </c>
      <c r="J421">
        <v>1</v>
      </c>
      <c r="K421" s="2">
        <v>65.989999999999995</v>
      </c>
      <c r="L421" t="s">
        <v>17</v>
      </c>
      <c r="M421" t="s">
        <v>18</v>
      </c>
      <c r="N421">
        <v>6.2</v>
      </c>
    </row>
    <row r="422" spans="1:14">
      <c r="A422">
        <v>421</v>
      </c>
      <c r="B422" s="1">
        <v>45282</v>
      </c>
      <c r="C422">
        <v>110</v>
      </c>
      <c r="D422" t="s">
        <v>19</v>
      </c>
      <c r="E422">
        <v>33</v>
      </c>
      <c r="F422" t="str" cm="1">
        <f t="array" ref="F422">_xlfn.IFS(E422&lt;18, "0-17",
     E422&lt;25, "18-24",
     E422&lt;35, "25-34",
     E422&lt;45, "35-44",
     E422&lt;55, "45-54",
     E422&lt;65, "55-64",
     TRUE, "65+")</f>
        <v>25-34</v>
      </c>
      <c r="G422" t="s">
        <v>28</v>
      </c>
      <c r="H422" t="s">
        <v>43</v>
      </c>
      <c r="I422" s="2">
        <v>13.99</v>
      </c>
      <c r="J422">
        <v>4</v>
      </c>
      <c r="K422" s="2">
        <v>55.96</v>
      </c>
      <c r="L422" t="s">
        <v>17</v>
      </c>
      <c r="M422" t="s">
        <v>18</v>
      </c>
      <c r="N422">
        <v>0.8</v>
      </c>
    </row>
    <row r="423" spans="1:14">
      <c r="A423">
        <v>422</v>
      </c>
      <c r="B423" s="1">
        <v>45285</v>
      </c>
      <c r="C423">
        <v>139</v>
      </c>
      <c r="D423" t="s">
        <v>14</v>
      </c>
      <c r="E423">
        <v>60</v>
      </c>
      <c r="F423" t="str" cm="1">
        <f t="array" ref="F423">_xlfn.IFS(E423&lt;18, "0-17",
     E423&lt;25, "18-24",
     E423&lt;35, "25-34",
     E423&lt;45, "35-44",
     E423&lt;55, "45-54",
     E423&lt;65, "55-64",
     TRUE, "65+")</f>
        <v>55-64</v>
      </c>
      <c r="G423" t="s">
        <v>20</v>
      </c>
      <c r="H423" t="s">
        <v>44</v>
      </c>
      <c r="I423" s="2">
        <v>10.99</v>
      </c>
      <c r="J423">
        <v>4</v>
      </c>
      <c r="K423" s="2">
        <v>43.96</v>
      </c>
      <c r="L423" t="s">
        <v>31</v>
      </c>
      <c r="M423" t="s">
        <v>18</v>
      </c>
      <c r="N423">
        <v>2.1</v>
      </c>
    </row>
    <row r="424" spans="1:14">
      <c r="A424">
        <v>423</v>
      </c>
      <c r="B424" s="1">
        <v>45287</v>
      </c>
      <c r="C424">
        <v>158</v>
      </c>
      <c r="D424" t="s">
        <v>19</v>
      </c>
      <c r="E424">
        <v>42</v>
      </c>
      <c r="F424" t="str" cm="1">
        <f t="array" ref="F424">_xlfn.IFS(E424&lt;18, "0-17",
     E424&lt;25, "18-24",
     E424&lt;35, "25-34",
     E424&lt;45, "35-44",
     E424&lt;55, "45-54",
     E424&lt;65, "55-64",
     TRUE, "65+")</f>
        <v>35-44</v>
      </c>
      <c r="G424" t="s">
        <v>15</v>
      </c>
      <c r="H424" t="s">
        <v>34</v>
      </c>
      <c r="I424" s="2">
        <v>17.989999999999998</v>
      </c>
      <c r="J424">
        <v>3</v>
      </c>
      <c r="K424" s="2">
        <v>53.97</v>
      </c>
      <c r="L424" t="s">
        <v>17</v>
      </c>
      <c r="M424" t="s">
        <v>26</v>
      </c>
      <c r="N424">
        <v>2.2000000000000002</v>
      </c>
    </row>
    <row r="425" spans="1:14">
      <c r="A425">
        <v>424</v>
      </c>
      <c r="B425" s="1">
        <v>45289</v>
      </c>
      <c r="C425">
        <v>144</v>
      </c>
      <c r="D425" t="s">
        <v>14</v>
      </c>
      <c r="E425">
        <v>28</v>
      </c>
      <c r="F425" t="str" cm="1">
        <f t="array" ref="F425">_xlfn.IFS(E425&lt;18, "0-17",
     E425&lt;25, "18-24",
     E425&lt;35, "25-34",
     E425&lt;45, "35-44",
     E425&lt;55, "45-54",
     E425&lt;65, "55-64",
     TRUE, "65+")</f>
        <v>25-34</v>
      </c>
      <c r="G425" t="s">
        <v>23</v>
      </c>
      <c r="H425" t="s">
        <v>37</v>
      </c>
      <c r="I425" s="2">
        <v>21.99</v>
      </c>
      <c r="J425">
        <v>4</v>
      </c>
      <c r="K425" s="2">
        <v>87.96</v>
      </c>
      <c r="L425" t="s">
        <v>17</v>
      </c>
      <c r="M425" t="s">
        <v>18</v>
      </c>
      <c r="N425">
        <v>4.9000000000000004</v>
      </c>
    </row>
    <row r="426" spans="1:14">
      <c r="A426">
        <v>425</v>
      </c>
      <c r="B426" s="1">
        <v>44929</v>
      </c>
      <c r="C426">
        <v>136</v>
      </c>
      <c r="D426" t="s">
        <v>19</v>
      </c>
      <c r="E426">
        <v>52</v>
      </c>
      <c r="F426" t="str" cm="1">
        <f t="array" ref="F426">_xlfn.IFS(E426&lt;18, "0-17",
     E426&lt;25, "18-24",
     E426&lt;35, "25-34",
     E426&lt;45, "35-44",
     E426&lt;55, "45-54",
     E426&lt;65, "55-64",
     TRUE, "65+")</f>
        <v>45-54</v>
      </c>
      <c r="G426" t="s">
        <v>28</v>
      </c>
      <c r="H426" t="s">
        <v>50</v>
      </c>
      <c r="I426" s="2">
        <v>52.99</v>
      </c>
      <c r="J426">
        <v>1</v>
      </c>
      <c r="K426" s="2">
        <v>52.99</v>
      </c>
      <c r="L426" t="s">
        <v>17</v>
      </c>
      <c r="M426" t="s">
        <v>18</v>
      </c>
      <c r="N426">
        <v>4.5999999999999996</v>
      </c>
    </row>
    <row r="427" spans="1:14">
      <c r="A427">
        <v>426</v>
      </c>
      <c r="B427" s="1">
        <v>44932</v>
      </c>
      <c r="C427">
        <v>128</v>
      </c>
      <c r="D427" t="s">
        <v>14</v>
      </c>
      <c r="E427">
        <v>36</v>
      </c>
      <c r="F427" t="str" cm="1">
        <f t="array" ref="F427">_xlfn.IFS(E427&lt;18, "0-17",
     E427&lt;25, "18-24",
     E427&lt;35, "25-34",
     E427&lt;45, "35-44",
     E427&lt;55, "45-54",
     E427&lt;65, "55-64",
     TRUE, "65+")</f>
        <v>35-44</v>
      </c>
      <c r="G427" t="s">
        <v>20</v>
      </c>
      <c r="H427" t="s">
        <v>32</v>
      </c>
      <c r="I427" s="2">
        <v>59.99</v>
      </c>
      <c r="J427">
        <v>2</v>
      </c>
      <c r="K427" s="2">
        <v>119.98</v>
      </c>
      <c r="L427" t="s">
        <v>17</v>
      </c>
      <c r="M427" t="s">
        <v>18</v>
      </c>
      <c r="N427">
        <v>8.8000000000000007</v>
      </c>
    </row>
    <row r="428" spans="1:14">
      <c r="A428">
        <v>427</v>
      </c>
      <c r="B428" s="1">
        <v>44935</v>
      </c>
      <c r="C428">
        <v>122</v>
      </c>
      <c r="D428" t="s">
        <v>19</v>
      </c>
      <c r="E428">
        <v>45</v>
      </c>
      <c r="F428" t="str" cm="1">
        <f t="array" ref="F428">_xlfn.IFS(E428&lt;18, "0-17",
     E428&lt;25, "18-24",
     E428&lt;35, "25-34",
     E428&lt;45, "35-44",
     E428&lt;55, "45-54",
     E428&lt;65, "55-64",
     TRUE, "65+")</f>
        <v>45-54</v>
      </c>
      <c r="G428" t="s">
        <v>15</v>
      </c>
      <c r="H428" t="s">
        <v>46</v>
      </c>
      <c r="I428" s="2">
        <v>89.99</v>
      </c>
      <c r="J428">
        <v>1</v>
      </c>
      <c r="K428" s="2">
        <v>89.99</v>
      </c>
      <c r="L428" t="s">
        <v>17</v>
      </c>
      <c r="M428" t="s">
        <v>18</v>
      </c>
      <c r="N428">
        <v>5.6</v>
      </c>
    </row>
    <row r="429" spans="1:14">
      <c r="A429">
        <v>428</v>
      </c>
      <c r="B429" s="1">
        <v>44937</v>
      </c>
      <c r="C429">
        <v>188</v>
      </c>
      <c r="D429" t="s">
        <v>14</v>
      </c>
      <c r="E429">
        <v>64</v>
      </c>
      <c r="F429" t="str" cm="1">
        <f t="array" ref="F429">_xlfn.IFS(E429&lt;18, "0-17",
     E429&lt;25, "18-24",
     E429&lt;35, "25-34",
     E429&lt;45, "35-44",
     E429&lt;55, "45-54",
     E429&lt;65, "55-64",
     TRUE, "65+")</f>
        <v>55-64</v>
      </c>
      <c r="G429" t="s">
        <v>23</v>
      </c>
      <c r="H429" t="s">
        <v>41</v>
      </c>
      <c r="I429" s="2">
        <v>129.99</v>
      </c>
      <c r="J429">
        <v>2</v>
      </c>
      <c r="K429" s="2">
        <v>259.98</v>
      </c>
      <c r="L429" t="s">
        <v>22</v>
      </c>
      <c r="M429" t="s">
        <v>18</v>
      </c>
      <c r="N429">
        <v>6.4</v>
      </c>
    </row>
    <row r="430" spans="1:14">
      <c r="A430">
        <v>429</v>
      </c>
      <c r="B430" s="1">
        <v>44940</v>
      </c>
      <c r="C430">
        <v>180</v>
      </c>
      <c r="D430" t="s">
        <v>19</v>
      </c>
      <c r="E430">
        <v>41</v>
      </c>
      <c r="F430" t="str" cm="1">
        <f t="array" ref="F430">_xlfn.IFS(E430&lt;18, "0-17",
     E430&lt;25, "18-24",
     E430&lt;35, "25-34",
     E430&lt;45, "35-44",
     E430&lt;55, "45-54",
     E430&lt;65, "55-64",
     TRUE, "65+")</f>
        <v>35-44</v>
      </c>
      <c r="G430" t="s">
        <v>28</v>
      </c>
      <c r="H430" t="s">
        <v>39</v>
      </c>
      <c r="I430" s="2">
        <v>7.99</v>
      </c>
      <c r="J430">
        <v>4</v>
      </c>
      <c r="K430" s="2">
        <v>31.96</v>
      </c>
      <c r="L430" t="s">
        <v>17</v>
      </c>
      <c r="M430" t="s">
        <v>26</v>
      </c>
      <c r="N430">
        <v>5.9</v>
      </c>
    </row>
    <row r="431" spans="1:14">
      <c r="A431">
        <v>430</v>
      </c>
      <c r="B431" s="1">
        <v>44942</v>
      </c>
      <c r="C431">
        <v>125</v>
      </c>
      <c r="D431" t="s">
        <v>14</v>
      </c>
      <c r="E431">
        <v>53</v>
      </c>
      <c r="F431" t="str" cm="1">
        <f t="array" ref="F431">_xlfn.IFS(E431&lt;18, "0-17",
     E431&lt;25, "18-24",
     E431&lt;35, "25-34",
     E431&lt;45, "35-44",
     E431&lt;55, "45-54",
     E431&lt;65, "55-64",
     TRUE, "65+")</f>
        <v>45-54</v>
      </c>
      <c r="G431" t="s">
        <v>20</v>
      </c>
      <c r="H431" t="s">
        <v>21</v>
      </c>
      <c r="I431" s="2">
        <v>49.99</v>
      </c>
      <c r="J431">
        <v>1</v>
      </c>
      <c r="K431" s="2">
        <v>49.99</v>
      </c>
      <c r="L431" t="s">
        <v>17</v>
      </c>
      <c r="M431" t="s">
        <v>18</v>
      </c>
      <c r="N431">
        <v>6.8</v>
      </c>
    </row>
    <row r="432" spans="1:14">
      <c r="A432">
        <v>431</v>
      </c>
      <c r="B432" s="1">
        <v>44945</v>
      </c>
      <c r="C432">
        <v>134</v>
      </c>
      <c r="D432" t="s">
        <v>19</v>
      </c>
      <c r="E432">
        <v>31</v>
      </c>
      <c r="F432" t="str" cm="1">
        <f t="array" ref="F432">_xlfn.IFS(E432&lt;18, "0-17",
     E432&lt;25, "18-24",
     E432&lt;35, "25-34",
     E432&lt;45, "35-44",
     E432&lt;55, "45-54",
     E432&lt;65, "55-64",
     TRUE, "65+")</f>
        <v>25-34</v>
      </c>
      <c r="G432" t="s">
        <v>15</v>
      </c>
      <c r="H432" t="s">
        <v>38</v>
      </c>
      <c r="I432" s="2">
        <v>89.99</v>
      </c>
      <c r="J432">
        <v>2</v>
      </c>
      <c r="K432" s="2">
        <v>179.98</v>
      </c>
      <c r="L432" t="s">
        <v>17</v>
      </c>
      <c r="M432" t="s">
        <v>18</v>
      </c>
      <c r="N432">
        <v>4.5999999999999996</v>
      </c>
    </row>
    <row r="433" spans="1:14">
      <c r="A433">
        <v>432</v>
      </c>
      <c r="B433" s="1">
        <v>44947</v>
      </c>
      <c r="C433">
        <v>192</v>
      </c>
      <c r="D433" t="s">
        <v>14</v>
      </c>
      <c r="E433">
        <v>28</v>
      </c>
      <c r="F433" t="str" cm="1">
        <f t="array" ref="F433">_xlfn.IFS(E433&lt;18, "0-17",
     E433&lt;25, "18-24",
     E433&lt;35, "25-34",
     E433&lt;45, "35-44",
     E433&lt;55, "45-54",
     E433&lt;65, "55-64",
     TRUE, "65+")</f>
        <v>25-34</v>
      </c>
      <c r="G433" t="s">
        <v>23</v>
      </c>
      <c r="H433" t="s">
        <v>49</v>
      </c>
      <c r="I433" s="2">
        <v>29.99</v>
      </c>
      <c r="J433">
        <v>2</v>
      </c>
      <c r="K433" s="2">
        <v>59.98</v>
      </c>
      <c r="L433" t="s">
        <v>17</v>
      </c>
      <c r="M433" t="s">
        <v>18</v>
      </c>
      <c r="N433">
        <v>0</v>
      </c>
    </row>
    <row r="434" spans="1:14">
      <c r="A434">
        <v>433</v>
      </c>
      <c r="B434" s="1">
        <v>44950</v>
      </c>
      <c r="C434">
        <v>138</v>
      </c>
      <c r="D434" t="s">
        <v>19</v>
      </c>
      <c r="E434">
        <v>59</v>
      </c>
      <c r="F434" t="str" cm="1">
        <f t="array" ref="F434">_xlfn.IFS(E434&lt;18, "0-17",
     E434&lt;25, "18-24",
     E434&lt;35, "25-34",
     E434&lt;45, "35-44",
     E434&lt;55, "45-54",
     E434&lt;65, "55-64",
     TRUE, "65+")</f>
        <v>55-64</v>
      </c>
      <c r="G434" t="s">
        <v>28</v>
      </c>
      <c r="H434" t="s">
        <v>29</v>
      </c>
      <c r="I434" s="2">
        <v>42.99</v>
      </c>
      <c r="J434">
        <v>2</v>
      </c>
      <c r="K434" s="2">
        <v>85.98</v>
      </c>
      <c r="L434" t="s">
        <v>25</v>
      </c>
      <c r="M434" t="s">
        <v>18</v>
      </c>
      <c r="N434">
        <v>2.8</v>
      </c>
    </row>
    <row r="435" spans="1:14">
      <c r="A435">
        <v>434</v>
      </c>
      <c r="B435" s="1">
        <v>44952</v>
      </c>
      <c r="C435">
        <v>130</v>
      </c>
      <c r="D435" t="s">
        <v>14</v>
      </c>
      <c r="E435">
        <v>47</v>
      </c>
      <c r="F435" t="str" cm="1">
        <f t="array" ref="F435">_xlfn.IFS(E435&lt;18, "0-17",
     E435&lt;25, "18-24",
     E435&lt;35, "25-34",
     E435&lt;45, "35-44",
     E435&lt;55, "45-54",
     E435&lt;65, "55-64",
     TRUE, "65+")</f>
        <v>45-54</v>
      </c>
      <c r="G435" t="s">
        <v>20</v>
      </c>
      <c r="H435" t="s">
        <v>47</v>
      </c>
      <c r="I435" s="2">
        <v>18.989999999999998</v>
      </c>
      <c r="J435">
        <v>1</v>
      </c>
      <c r="K435" s="2">
        <v>18.989999999999998</v>
      </c>
      <c r="L435" t="s">
        <v>17</v>
      </c>
      <c r="M435" t="s">
        <v>26</v>
      </c>
      <c r="N435">
        <v>4</v>
      </c>
    </row>
    <row r="436" spans="1:14">
      <c r="A436">
        <v>435</v>
      </c>
      <c r="B436" s="1">
        <v>44955</v>
      </c>
      <c r="C436">
        <v>128</v>
      </c>
      <c r="D436" t="s">
        <v>19</v>
      </c>
      <c r="E436">
        <v>35</v>
      </c>
      <c r="F436" t="str" cm="1">
        <f t="array" ref="F436">_xlfn.IFS(E436&lt;18, "0-17",
     E436&lt;25, "18-24",
     E436&lt;35, "25-34",
     E436&lt;45, "35-44",
     E436&lt;55, "45-54",
     E436&lt;65, "55-64",
     TRUE, "65+")</f>
        <v>35-44</v>
      </c>
      <c r="G436" t="s">
        <v>15</v>
      </c>
      <c r="H436" t="s">
        <v>30</v>
      </c>
      <c r="I436" s="2">
        <v>14.99</v>
      </c>
      <c r="J436">
        <v>3</v>
      </c>
      <c r="K436" s="2">
        <v>44.97</v>
      </c>
      <c r="L436" t="s">
        <v>17</v>
      </c>
      <c r="M436" t="s">
        <v>18</v>
      </c>
      <c r="N436">
        <v>8.8000000000000007</v>
      </c>
    </row>
    <row r="437" spans="1:14">
      <c r="A437">
        <v>436</v>
      </c>
      <c r="B437" s="1">
        <v>44957</v>
      </c>
      <c r="C437">
        <v>165</v>
      </c>
      <c r="D437" t="s">
        <v>14</v>
      </c>
      <c r="E437">
        <v>43</v>
      </c>
      <c r="F437" t="str" cm="1">
        <f t="array" ref="F437">_xlfn.IFS(E437&lt;18, "0-17",
     E437&lt;25, "18-24",
     E437&lt;35, "25-34",
     E437&lt;45, "35-44",
     E437&lt;55, "45-54",
     E437&lt;65, "55-64",
     TRUE, "65+")</f>
        <v>35-44</v>
      </c>
      <c r="G437" t="s">
        <v>23</v>
      </c>
      <c r="H437" t="s">
        <v>33</v>
      </c>
      <c r="I437" s="2">
        <v>39.99</v>
      </c>
      <c r="J437">
        <v>3</v>
      </c>
      <c r="K437" s="2">
        <v>119.97</v>
      </c>
      <c r="L437" t="s">
        <v>17</v>
      </c>
      <c r="M437" t="s">
        <v>18</v>
      </c>
      <c r="N437">
        <v>3.7</v>
      </c>
    </row>
    <row r="438" spans="1:14">
      <c r="A438">
        <v>437</v>
      </c>
      <c r="B438" s="1">
        <v>44960</v>
      </c>
      <c r="C438">
        <v>115</v>
      </c>
      <c r="D438" t="s">
        <v>19</v>
      </c>
      <c r="E438">
        <v>58</v>
      </c>
      <c r="F438" t="str" cm="1">
        <f t="array" ref="F438">_xlfn.IFS(E438&lt;18, "0-17",
     E438&lt;25, "18-24",
     E438&lt;35, "25-34",
     E438&lt;45, "35-44",
     E438&lt;55, "45-54",
     E438&lt;65, "55-64",
     TRUE, "65+")</f>
        <v>55-64</v>
      </c>
      <c r="G438" t="s">
        <v>28</v>
      </c>
      <c r="H438" t="s">
        <v>35</v>
      </c>
      <c r="I438" s="2">
        <v>18.989999999999998</v>
      </c>
      <c r="J438">
        <v>2</v>
      </c>
      <c r="K438" s="2">
        <v>37.979999999999997</v>
      </c>
      <c r="L438" t="s">
        <v>17</v>
      </c>
      <c r="M438" t="s">
        <v>18</v>
      </c>
      <c r="N438">
        <v>0.1</v>
      </c>
    </row>
    <row r="439" spans="1:14">
      <c r="A439">
        <v>438</v>
      </c>
      <c r="B439" s="1">
        <v>44963</v>
      </c>
      <c r="C439">
        <v>182</v>
      </c>
      <c r="D439" t="s">
        <v>14</v>
      </c>
      <c r="E439">
        <v>47</v>
      </c>
      <c r="F439" t="str" cm="1">
        <f t="array" ref="F439">_xlfn.IFS(E439&lt;18, "0-17",
     E439&lt;25, "18-24",
     E439&lt;35, "25-34",
     E439&lt;45, "35-44",
     E439&lt;55, "45-54",
     E439&lt;65, "55-64",
     TRUE, "65+")</f>
        <v>45-54</v>
      </c>
      <c r="G439" t="s">
        <v>20</v>
      </c>
      <c r="H439" t="s">
        <v>44</v>
      </c>
      <c r="I439" s="2">
        <v>9.99</v>
      </c>
      <c r="J439">
        <v>5</v>
      </c>
      <c r="K439" s="2">
        <v>49.95</v>
      </c>
      <c r="L439" t="s">
        <v>17</v>
      </c>
      <c r="M439" t="s">
        <v>18</v>
      </c>
      <c r="N439">
        <v>1.6</v>
      </c>
    </row>
    <row r="440" spans="1:14">
      <c r="A440">
        <v>439</v>
      </c>
      <c r="B440" s="1">
        <v>44965</v>
      </c>
      <c r="C440">
        <v>112</v>
      </c>
      <c r="D440" t="s">
        <v>19</v>
      </c>
      <c r="E440">
        <v>51</v>
      </c>
      <c r="F440" t="str" cm="1">
        <f t="array" ref="F440">_xlfn.IFS(E440&lt;18, "0-17",
     E440&lt;25, "18-24",
     E440&lt;35, "25-34",
     E440&lt;45, "35-44",
     E440&lt;55, "45-54",
     E440&lt;65, "55-64",
     TRUE, "65+")</f>
        <v>45-54</v>
      </c>
      <c r="G440" t="s">
        <v>15</v>
      </c>
      <c r="H440" t="s">
        <v>16</v>
      </c>
      <c r="I440" s="2">
        <v>59.99</v>
      </c>
      <c r="J440">
        <v>1</v>
      </c>
      <c r="K440" s="2">
        <v>59.99</v>
      </c>
      <c r="L440" t="s">
        <v>22</v>
      </c>
      <c r="M440" t="s">
        <v>18</v>
      </c>
      <c r="N440">
        <v>8.6999999999999993</v>
      </c>
    </row>
    <row r="441" spans="1:14">
      <c r="A441">
        <v>440</v>
      </c>
      <c r="B441" s="1">
        <v>44967</v>
      </c>
      <c r="C441">
        <v>153</v>
      </c>
      <c r="D441" t="s">
        <v>14</v>
      </c>
      <c r="E441">
        <v>40</v>
      </c>
      <c r="F441" t="str" cm="1">
        <f t="array" ref="F441">_xlfn.IFS(E441&lt;18, "0-17",
     E441&lt;25, "18-24",
     E441&lt;35, "25-34",
     E441&lt;45, "35-44",
     E441&lt;55, "45-54",
     E441&lt;65, "55-64",
     TRUE, "65+")</f>
        <v>35-44</v>
      </c>
      <c r="G441" t="s">
        <v>23</v>
      </c>
      <c r="H441" t="s">
        <v>45</v>
      </c>
      <c r="I441" s="2">
        <v>59.99</v>
      </c>
      <c r="J441">
        <v>2</v>
      </c>
      <c r="K441" s="2">
        <v>119.98</v>
      </c>
      <c r="L441" t="s">
        <v>17</v>
      </c>
      <c r="M441" t="s">
        <v>26</v>
      </c>
      <c r="N441">
        <v>9.5</v>
      </c>
    </row>
    <row r="442" spans="1:14">
      <c r="A442">
        <v>441</v>
      </c>
      <c r="B442" s="1">
        <v>44969</v>
      </c>
      <c r="C442">
        <v>193</v>
      </c>
      <c r="D442" t="s">
        <v>19</v>
      </c>
      <c r="E442">
        <v>55</v>
      </c>
      <c r="F442" t="str" cm="1">
        <f t="array" ref="F442">_xlfn.IFS(E442&lt;18, "0-17",
     E442&lt;25, "18-24",
     E442&lt;35, "25-34",
     E442&lt;45, "35-44",
     E442&lt;55, "45-54",
     E442&lt;65, "55-64",
     TRUE, "65+")</f>
        <v>55-64</v>
      </c>
      <c r="G442" t="s">
        <v>28</v>
      </c>
      <c r="H442" t="s">
        <v>43</v>
      </c>
      <c r="I442" s="2">
        <v>14.99</v>
      </c>
      <c r="J442">
        <v>2</v>
      </c>
      <c r="K442" s="2">
        <v>29.98</v>
      </c>
      <c r="L442" t="s">
        <v>17</v>
      </c>
      <c r="M442" t="s">
        <v>18</v>
      </c>
      <c r="N442">
        <v>2.2999999999999998</v>
      </c>
    </row>
    <row r="443" spans="1:14">
      <c r="A443">
        <v>442</v>
      </c>
      <c r="B443" s="1">
        <v>44972</v>
      </c>
      <c r="C443">
        <v>176</v>
      </c>
      <c r="D443" t="s">
        <v>14</v>
      </c>
      <c r="E443">
        <v>37</v>
      </c>
      <c r="F443" t="str" cm="1">
        <f t="array" ref="F443">_xlfn.IFS(E443&lt;18, "0-17",
     E443&lt;25, "18-24",
     E443&lt;35, "25-34",
     E443&lt;45, "35-44",
     E443&lt;55, "45-54",
     E443&lt;65, "55-64",
     TRUE, "65+")</f>
        <v>35-44</v>
      </c>
      <c r="G443" t="s">
        <v>20</v>
      </c>
      <c r="H443" t="s">
        <v>32</v>
      </c>
      <c r="I443" s="2">
        <v>64.989999999999995</v>
      </c>
      <c r="J443">
        <v>2</v>
      </c>
      <c r="K443" s="2">
        <v>129.97999999999999</v>
      </c>
      <c r="L443" t="s">
        <v>17</v>
      </c>
      <c r="M443" t="s">
        <v>18</v>
      </c>
      <c r="N443">
        <v>1.8</v>
      </c>
    </row>
    <row r="444" spans="1:14">
      <c r="A444">
        <v>443</v>
      </c>
      <c r="B444" s="1">
        <v>44975</v>
      </c>
      <c r="C444">
        <v>181</v>
      </c>
      <c r="D444" t="s">
        <v>19</v>
      </c>
      <c r="E444">
        <v>44</v>
      </c>
      <c r="F444" t="str" cm="1">
        <f t="array" ref="F444">_xlfn.IFS(E444&lt;18, "0-17",
     E444&lt;25, "18-24",
     E444&lt;35, "25-34",
     E444&lt;45, "35-44",
     E444&lt;55, "45-54",
     E444&lt;65, "55-64",
     TRUE, "65+")</f>
        <v>35-44</v>
      </c>
      <c r="G444" t="s">
        <v>15</v>
      </c>
      <c r="H444" t="s">
        <v>48</v>
      </c>
      <c r="I444" s="2">
        <v>27.99</v>
      </c>
      <c r="J444">
        <v>2</v>
      </c>
      <c r="K444" s="2">
        <v>55.98</v>
      </c>
      <c r="L444" t="s">
        <v>17</v>
      </c>
      <c r="M444" t="s">
        <v>18</v>
      </c>
      <c r="N444">
        <v>9.9</v>
      </c>
    </row>
    <row r="445" spans="1:14">
      <c r="A445">
        <v>444</v>
      </c>
      <c r="B445" s="1">
        <v>44977</v>
      </c>
      <c r="C445">
        <v>170</v>
      </c>
      <c r="D445" t="s">
        <v>14</v>
      </c>
      <c r="E445">
        <v>36</v>
      </c>
      <c r="F445" t="str" cm="1">
        <f t="array" ref="F445">_xlfn.IFS(E445&lt;18, "0-17",
     E445&lt;25, "18-24",
     E445&lt;35, "25-34",
     E445&lt;45, "35-44",
     E445&lt;55, "45-54",
     E445&lt;65, "55-64",
     TRUE, "65+")</f>
        <v>35-44</v>
      </c>
      <c r="G445" t="s">
        <v>23</v>
      </c>
      <c r="H445" t="s">
        <v>37</v>
      </c>
      <c r="I445" s="2">
        <v>23.99</v>
      </c>
      <c r="J445">
        <v>4</v>
      </c>
      <c r="K445" s="2">
        <v>95.96</v>
      </c>
      <c r="L445" t="s">
        <v>31</v>
      </c>
      <c r="M445" t="s">
        <v>18</v>
      </c>
      <c r="N445">
        <v>9.1999999999999993</v>
      </c>
    </row>
    <row r="446" spans="1:14">
      <c r="A446">
        <v>445</v>
      </c>
      <c r="B446" s="1">
        <v>44979</v>
      </c>
      <c r="C446">
        <v>142</v>
      </c>
      <c r="D446" t="s">
        <v>19</v>
      </c>
      <c r="E446">
        <v>60</v>
      </c>
      <c r="F446" t="str" cm="1">
        <f t="array" ref="F446">_xlfn.IFS(E446&lt;18, "0-17",
     E446&lt;25, "18-24",
     E446&lt;35, "25-34",
     E446&lt;45, "35-44",
     E446&lt;55, "45-54",
     E446&lt;65, "55-64",
     TRUE, "65+")</f>
        <v>55-64</v>
      </c>
      <c r="G446" t="s">
        <v>28</v>
      </c>
      <c r="H446" t="s">
        <v>50</v>
      </c>
      <c r="I446" s="2">
        <v>47.99</v>
      </c>
      <c r="J446">
        <v>2</v>
      </c>
      <c r="K446" s="2">
        <v>95.98</v>
      </c>
      <c r="L446" t="s">
        <v>17</v>
      </c>
      <c r="M446" t="s">
        <v>26</v>
      </c>
      <c r="N446">
        <v>6.8</v>
      </c>
    </row>
    <row r="447" spans="1:14">
      <c r="A447">
        <v>446</v>
      </c>
      <c r="B447" s="1">
        <v>44982</v>
      </c>
      <c r="C447">
        <v>120</v>
      </c>
      <c r="D447" t="s">
        <v>14</v>
      </c>
      <c r="E447">
        <v>32</v>
      </c>
      <c r="F447" t="str" cm="1">
        <f t="array" ref="F447">_xlfn.IFS(E447&lt;18, "0-17",
     E447&lt;25, "18-24",
     E447&lt;35, "25-34",
     E447&lt;45, "35-44",
     E447&lt;55, "45-54",
     E447&lt;65, "55-64",
     TRUE, "65+")</f>
        <v>25-34</v>
      </c>
      <c r="G447" t="s">
        <v>20</v>
      </c>
      <c r="H447" t="s">
        <v>21</v>
      </c>
      <c r="I447" s="2">
        <v>39.99</v>
      </c>
      <c r="J447">
        <v>3</v>
      </c>
      <c r="K447" s="2">
        <v>119.97</v>
      </c>
      <c r="L447" t="s">
        <v>17</v>
      </c>
      <c r="M447" t="s">
        <v>18</v>
      </c>
      <c r="N447">
        <v>2.1</v>
      </c>
    </row>
    <row r="448" spans="1:14">
      <c r="A448">
        <v>447</v>
      </c>
      <c r="B448" s="1">
        <v>44984</v>
      </c>
      <c r="C448">
        <v>169</v>
      </c>
      <c r="D448" t="s">
        <v>19</v>
      </c>
      <c r="E448">
        <v>49</v>
      </c>
      <c r="F448" t="str" cm="1">
        <f t="array" ref="F448">_xlfn.IFS(E448&lt;18, "0-17",
     E448&lt;25, "18-24",
     E448&lt;35, "25-34",
     E448&lt;45, "35-44",
     E448&lt;55, "45-54",
     E448&lt;65, "55-64",
     TRUE, "65+")</f>
        <v>45-54</v>
      </c>
      <c r="G448" t="s">
        <v>15</v>
      </c>
      <c r="H448" t="s">
        <v>42</v>
      </c>
      <c r="I448" s="2">
        <v>199.99</v>
      </c>
      <c r="J448">
        <v>1</v>
      </c>
      <c r="K448" s="2">
        <v>199.99</v>
      </c>
      <c r="L448" t="s">
        <v>17</v>
      </c>
      <c r="M448" t="s">
        <v>18</v>
      </c>
      <c r="N448">
        <v>5.4</v>
      </c>
    </row>
    <row r="449" spans="1:14">
      <c r="A449">
        <v>448</v>
      </c>
      <c r="B449" s="1">
        <v>44987</v>
      </c>
      <c r="C449">
        <v>131</v>
      </c>
      <c r="D449" t="s">
        <v>14</v>
      </c>
      <c r="E449">
        <v>53</v>
      </c>
      <c r="F449" t="str" cm="1">
        <f t="array" ref="F449">_xlfn.IFS(E449&lt;18, "0-17",
     E449&lt;25, "18-24",
     E449&lt;35, "25-34",
     E449&lt;45, "35-44",
     E449&lt;55, "45-54",
     E449&lt;65, "55-64",
     TRUE, "65+")</f>
        <v>45-54</v>
      </c>
      <c r="G449" t="s">
        <v>23</v>
      </c>
      <c r="H449" t="s">
        <v>24</v>
      </c>
      <c r="I449" s="2">
        <v>34.99</v>
      </c>
      <c r="J449">
        <v>2</v>
      </c>
      <c r="K449" s="2">
        <v>69.98</v>
      </c>
      <c r="L449" t="s">
        <v>17</v>
      </c>
      <c r="M449" t="s">
        <v>18</v>
      </c>
      <c r="N449">
        <v>2.1</v>
      </c>
    </row>
    <row r="450" spans="1:14">
      <c r="A450">
        <v>449</v>
      </c>
      <c r="B450" s="1">
        <v>44990</v>
      </c>
      <c r="C450">
        <v>165</v>
      </c>
      <c r="D450" t="s">
        <v>19</v>
      </c>
      <c r="E450">
        <v>43</v>
      </c>
      <c r="F450" t="str" cm="1">
        <f t="array" ref="F450">_xlfn.IFS(E450&lt;18, "0-17",
     E450&lt;25, "18-24",
     E450&lt;35, "25-34",
     E450&lt;45, "35-44",
     E450&lt;55, "45-54",
     E450&lt;65, "55-64",
     TRUE, "65+")</f>
        <v>35-44</v>
      </c>
      <c r="G450" t="s">
        <v>28</v>
      </c>
      <c r="H450" t="s">
        <v>39</v>
      </c>
      <c r="I450" s="2">
        <v>9.99</v>
      </c>
      <c r="J450">
        <v>3</v>
      </c>
      <c r="K450" s="2">
        <v>29.97</v>
      </c>
      <c r="L450" t="s">
        <v>17</v>
      </c>
      <c r="M450" t="s">
        <v>18</v>
      </c>
      <c r="N450">
        <v>3.7</v>
      </c>
    </row>
    <row r="451" spans="1:14">
      <c r="A451">
        <v>450</v>
      </c>
      <c r="B451" s="1">
        <v>44993</v>
      </c>
      <c r="C451">
        <v>187</v>
      </c>
      <c r="D451" t="s">
        <v>14</v>
      </c>
      <c r="E451">
        <v>26</v>
      </c>
      <c r="F451" t="str" cm="1">
        <f t="array" ref="F451">_xlfn.IFS(E451&lt;18, "0-17",
     E451&lt;25, "18-24",
     E451&lt;35, "25-34",
     E451&lt;45, "35-44",
     E451&lt;55, "45-54",
     E451&lt;65, "55-64",
     TRUE, "65+")</f>
        <v>25-34</v>
      </c>
      <c r="G451" t="s">
        <v>20</v>
      </c>
      <c r="H451" t="s">
        <v>32</v>
      </c>
      <c r="I451" s="2">
        <v>69.989999999999995</v>
      </c>
      <c r="J451">
        <v>1</v>
      </c>
      <c r="K451" s="2">
        <v>69.989999999999995</v>
      </c>
      <c r="L451" t="s">
        <v>22</v>
      </c>
      <c r="M451" t="s">
        <v>18</v>
      </c>
      <c r="N451">
        <v>2.1</v>
      </c>
    </row>
    <row r="452" spans="1:14">
      <c r="A452">
        <v>451</v>
      </c>
      <c r="B452" s="1">
        <v>44995</v>
      </c>
      <c r="C452">
        <v>152</v>
      </c>
      <c r="D452" t="s">
        <v>19</v>
      </c>
      <c r="E452">
        <v>47</v>
      </c>
      <c r="F452" t="str" cm="1">
        <f t="array" ref="F452">_xlfn.IFS(E452&lt;18, "0-17",
     E452&lt;25, "18-24",
     E452&lt;35, "25-34",
     E452&lt;45, "35-44",
     E452&lt;55, "45-54",
     E452&lt;65, "55-64",
     TRUE, "65+")</f>
        <v>45-54</v>
      </c>
      <c r="G452" t="s">
        <v>15</v>
      </c>
      <c r="H452" t="s">
        <v>34</v>
      </c>
      <c r="I452" s="2">
        <v>16.989999999999998</v>
      </c>
      <c r="J452">
        <v>4</v>
      </c>
      <c r="K452" s="2">
        <v>67.959999999999994</v>
      </c>
      <c r="L452" t="s">
        <v>17</v>
      </c>
      <c r="M452" t="s">
        <v>26</v>
      </c>
      <c r="N452">
        <v>5.6</v>
      </c>
    </row>
    <row r="453" spans="1:14">
      <c r="A453">
        <v>452</v>
      </c>
      <c r="B453" s="1">
        <v>44997</v>
      </c>
      <c r="C453">
        <v>109</v>
      </c>
      <c r="D453" t="s">
        <v>14</v>
      </c>
      <c r="E453">
        <v>56</v>
      </c>
      <c r="F453" t="str" cm="1">
        <f t="array" ref="F453">_xlfn.IFS(E453&lt;18, "0-17",
     E453&lt;25, "18-24",
     E453&lt;35, "25-34",
     E453&lt;45, "35-44",
     E453&lt;55, "45-54",
     E453&lt;65, "55-64",
     TRUE, "65+")</f>
        <v>55-64</v>
      </c>
      <c r="G453" t="s">
        <v>23</v>
      </c>
      <c r="H453" t="s">
        <v>49</v>
      </c>
      <c r="I453" s="2">
        <v>27.99</v>
      </c>
      <c r="J453">
        <v>2</v>
      </c>
      <c r="K453" s="2">
        <v>55.98</v>
      </c>
      <c r="L453" t="s">
        <v>17</v>
      </c>
      <c r="M453" t="s">
        <v>18</v>
      </c>
      <c r="N453">
        <v>0.3</v>
      </c>
    </row>
    <row r="454" spans="1:14">
      <c r="A454">
        <v>453</v>
      </c>
      <c r="B454" s="1">
        <v>45000</v>
      </c>
      <c r="C454">
        <v>117</v>
      </c>
      <c r="D454" t="s">
        <v>19</v>
      </c>
      <c r="E454">
        <v>44</v>
      </c>
      <c r="F454" t="str" cm="1">
        <f t="array" ref="F454">_xlfn.IFS(E454&lt;18, "0-17",
     E454&lt;25, "18-24",
     E454&lt;35, "25-34",
     E454&lt;45, "35-44",
     E454&lt;55, "45-54",
     E454&lt;65, "55-64",
     TRUE, "65+")</f>
        <v>35-44</v>
      </c>
      <c r="G454" t="s">
        <v>28</v>
      </c>
      <c r="H454" t="s">
        <v>29</v>
      </c>
      <c r="I454" s="2">
        <v>39.99</v>
      </c>
      <c r="J454">
        <v>2</v>
      </c>
      <c r="K454" s="2">
        <v>79.98</v>
      </c>
      <c r="L454" t="s">
        <v>17</v>
      </c>
      <c r="M454" t="s">
        <v>18</v>
      </c>
      <c r="N454">
        <v>6.5</v>
      </c>
    </row>
    <row r="455" spans="1:14">
      <c r="A455">
        <v>454</v>
      </c>
      <c r="B455" s="1">
        <v>45003</v>
      </c>
      <c r="C455">
        <v>167</v>
      </c>
      <c r="D455" t="s">
        <v>14</v>
      </c>
      <c r="E455">
        <v>50</v>
      </c>
      <c r="F455" t="str" cm="1">
        <f t="array" ref="F455">_xlfn.IFS(E455&lt;18, "0-17",
     E455&lt;25, "18-24",
     E455&lt;35, "25-34",
     E455&lt;45, "35-44",
     E455&lt;55, "45-54",
     E455&lt;65, "55-64",
     TRUE, "65+")</f>
        <v>45-54</v>
      </c>
      <c r="G455" t="s">
        <v>20</v>
      </c>
      <c r="H455" t="s">
        <v>36</v>
      </c>
      <c r="I455" s="2">
        <v>89.99</v>
      </c>
      <c r="J455">
        <v>1</v>
      </c>
      <c r="K455" s="2">
        <v>89.99</v>
      </c>
      <c r="L455" t="s">
        <v>17</v>
      </c>
      <c r="M455" t="s">
        <v>18</v>
      </c>
      <c r="N455">
        <v>7.9</v>
      </c>
    </row>
    <row r="456" spans="1:14">
      <c r="A456">
        <v>455</v>
      </c>
      <c r="B456" s="1">
        <v>45005</v>
      </c>
      <c r="C456">
        <v>107</v>
      </c>
      <c r="D456" t="s">
        <v>19</v>
      </c>
      <c r="E456">
        <v>25</v>
      </c>
      <c r="F456" t="str" cm="1">
        <f t="array" ref="F456">_xlfn.IFS(E456&lt;18, "0-17",
     E456&lt;25, "18-24",
     E456&lt;35, "25-34",
     E456&lt;45, "35-44",
     E456&lt;55, "45-54",
     E456&lt;65, "55-64",
     TRUE, "65+")</f>
        <v>25-34</v>
      </c>
      <c r="G456" t="s">
        <v>15</v>
      </c>
      <c r="H456" t="s">
        <v>46</v>
      </c>
      <c r="I456" s="2">
        <v>79.989999999999995</v>
      </c>
      <c r="J456">
        <v>2</v>
      </c>
      <c r="K456" s="2">
        <v>159.97999999999999</v>
      </c>
      <c r="L456" t="s">
        <v>25</v>
      </c>
      <c r="M456" t="s">
        <v>18</v>
      </c>
      <c r="N456">
        <v>6</v>
      </c>
    </row>
    <row r="457" spans="1:14">
      <c r="A457">
        <v>456</v>
      </c>
      <c r="B457" s="1">
        <v>45007</v>
      </c>
      <c r="C457">
        <v>136</v>
      </c>
      <c r="D457" t="s">
        <v>14</v>
      </c>
      <c r="E457">
        <v>47</v>
      </c>
      <c r="F457" t="str" cm="1">
        <f t="array" ref="F457">_xlfn.IFS(E457&lt;18, "0-17",
     E457&lt;25, "18-24",
     E457&lt;35, "25-34",
     E457&lt;45, "35-44",
     E457&lt;55, "45-54",
     E457&lt;65, "55-64",
     TRUE, "65+")</f>
        <v>45-54</v>
      </c>
      <c r="G457" t="s">
        <v>23</v>
      </c>
      <c r="H457" t="s">
        <v>41</v>
      </c>
      <c r="I457" s="2">
        <v>149.99</v>
      </c>
      <c r="J457">
        <v>1</v>
      </c>
      <c r="K457" s="2">
        <v>149.99</v>
      </c>
      <c r="L457" t="s">
        <v>17</v>
      </c>
      <c r="M457" t="s">
        <v>26</v>
      </c>
      <c r="N457">
        <v>4.5999999999999996</v>
      </c>
    </row>
    <row r="458" spans="1:14">
      <c r="A458">
        <v>457</v>
      </c>
      <c r="B458" s="1">
        <v>45010</v>
      </c>
      <c r="C458">
        <v>135</v>
      </c>
      <c r="D458" t="s">
        <v>19</v>
      </c>
      <c r="E458">
        <v>34</v>
      </c>
      <c r="F458" t="str" cm="1">
        <f t="array" ref="F458">_xlfn.IFS(E458&lt;18, "0-17",
     E458&lt;25, "18-24",
     E458&lt;35, "25-34",
     E458&lt;45, "35-44",
     E458&lt;55, "45-54",
     E458&lt;65, "55-64",
     TRUE, "65+")</f>
        <v>25-34</v>
      </c>
      <c r="G458" t="s">
        <v>28</v>
      </c>
      <c r="H458" t="s">
        <v>35</v>
      </c>
      <c r="I458" s="2">
        <v>15.99</v>
      </c>
      <c r="J458">
        <v>4</v>
      </c>
      <c r="K458" s="2">
        <v>63.96</v>
      </c>
      <c r="L458" t="s">
        <v>17</v>
      </c>
      <c r="M458" t="s">
        <v>18</v>
      </c>
      <c r="N458">
        <v>8</v>
      </c>
    </row>
    <row r="459" spans="1:14">
      <c r="A459">
        <v>458</v>
      </c>
      <c r="B459" s="1">
        <v>45013</v>
      </c>
      <c r="C459">
        <v>144</v>
      </c>
      <c r="D459" t="s">
        <v>14</v>
      </c>
      <c r="E459">
        <v>29</v>
      </c>
      <c r="F459" t="str" cm="1">
        <f t="array" ref="F459">_xlfn.IFS(E459&lt;18, "0-17",
     E459&lt;25, "18-24",
     E459&lt;35, "25-34",
     E459&lt;45, "35-44",
     E459&lt;55, "45-54",
     E459&lt;65, "55-64",
     TRUE, "65+")</f>
        <v>25-34</v>
      </c>
      <c r="G459" t="s">
        <v>20</v>
      </c>
      <c r="H459" t="s">
        <v>44</v>
      </c>
      <c r="I459" s="2">
        <v>11.99</v>
      </c>
      <c r="J459">
        <v>5</v>
      </c>
      <c r="K459" s="2">
        <v>59.95</v>
      </c>
      <c r="L459" t="s">
        <v>17</v>
      </c>
      <c r="M459" t="s">
        <v>18</v>
      </c>
      <c r="N459">
        <v>4.9000000000000004</v>
      </c>
    </row>
    <row r="460" spans="1:14">
      <c r="A460">
        <v>459</v>
      </c>
      <c r="B460" s="1">
        <v>45015</v>
      </c>
      <c r="C460">
        <v>173</v>
      </c>
      <c r="D460" t="s">
        <v>19</v>
      </c>
      <c r="E460">
        <v>54</v>
      </c>
      <c r="F460" t="str" cm="1">
        <f t="array" ref="F460">_xlfn.IFS(E460&lt;18, "0-17",
     E460&lt;25, "18-24",
     E460&lt;35, "25-34",
     E460&lt;45, "35-44",
     E460&lt;55, "45-54",
     E460&lt;65, "55-64",
     TRUE, "65+")</f>
        <v>45-54</v>
      </c>
      <c r="G460" t="s">
        <v>15</v>
      </c>
      <c r="H460" t="s">
        <v>38</v>
      </c>
      <c r="I460" s="2">
        <v>99.99</v>
      </c>
      <c r="J460">
        <v>1</v>
      </c>
      <c r="K460" s="2">
        <v>99.99</v>
      </c>
      <c r="L460" t="s">
        <v>17</v>
      </c>
      <c r="M460" t="s">
        <v>18</v>
      </c>
      <c r="N460">
        <v>6.9</v>
      </c>
    </row>
    <row r="461" spans="1:14">
      <c r="A461">
        <v>460</v>
      </c>
      <c r="B461" s="1">
        <v>45018</v>
      </c>
      <c r="C461">
        <v>115</v>
      </c>
      <c r="D461" t="s">
        <v>14</v>
      </c>
      <c r="E461">
        <v>61</v>
      </c>
      <c r="F461" t="str" cm="1">
        <f t="array" ref="F461">_xlfn.IFS(E461&lt;18, "0-17",
     E461&lt;25, "18-24",
     E461&lt;35, "25-34",
     E461&lt;45, "35-44",
     E461&lt;55, "45-54",
     E461&lt;65, "55-64",
     TRUE, "65+")</f>
        <v>55-64</v>
      </c>
      <c r="G461" t="s">
        <v>23</v>
      </c>
      <c r="H461" t="s">
        <v>37</v>
      </c>
      <c r="I461" s="2">
        <v>22.99</v>
      </c>
      <c r="J461">
        <v>4</v>
      </c>
      <c r="K461" s="2">
        <v>91.96</v>
      </c>
      <c r="L461" t="s">
        <v>17</v>
      </c>
      <c r="M461" t="s">
        <v>18</v>
      </c>
      <c r="N461">
        <v>0.1</v>
      </c>
    </row>
    <row r="462" spans="1:14">
      <c r="A462">
        <v>461</v>
      </c>
      <c r="B462" s="1">
        <v>45021</v>
      </c>
      <c r="C462">
        <v>124</v>
      </c>
      <c r="D462" t="s">
        <v>19</v>
      </c>
      <c r="E462">
        <v>40</v>
      </c>
      <c r="F462" t="str" cm="1">
        <f t="array" ref="F462">_xlfn.IFS(E462&lt;18, "0-17",
     E462&lt;25, "18-24",
     E462&lt;35, "25-34",
     E462&lt;45, "35-44",
     E462&lt;55, "45-54",
     E462&lt;65, "55-64",
     TRUE, "65+")</f>
        <v>35-44</v>
      </c>
      <c r="G462" t="s">
        <v>28</v>
      </c>
      <c r="H462" t="s">
        <v>43</v>
      </c>
      <c r="I462" s="2">
        <v>15.99</v>
      </c>
      <c r="J462">
        <v>2</v>
      </c>
      <c r="K462" s="2">
        <v>31.98</v>
      </c>
      <c r="L462" t="s">
        <v>22</v>
      </c>
      <c r="M462" t="s">
        <v>18</v>
      </c>
      <c r="N462">
        <v>8</v>
      </c>
    </row>
    <row r="463" spans="1:14">
      <c r="A463">
        <v>462</v>
      </c>
      <c r="B463" s="1">
        <v>45024</v>
      </c>
      <c r="C463">
        <v>114</v>
      </c>
      <c r="D463" t="s">
        <v>14</v>
      </c>
      <c r="E463">
        <v>42</v>
      </c>
      <c r="F463" t="str" cm="1">
        <f t="array" ref="F463">_xlfn.IFS(E463&lt;18, "0-17",
     E463&lt;25, "18-24",
     E463&lt;35, "25-34",
     E463&lt;45, "35-44",
     E463&lt;55, "45-54",
     E463&lt;65, "55-64",
     TRUE, "65+")</f>
        <v>35-44</v>
      </c>
      <c r="G463" t="s">
        <v>20</v>
      </c>
      <c r="H463" t="s">
        <v>21</v>
      </c>
      <c r="I463" s="2">
        <v>44.99</v>
      </c>
      <c r="J463">
        <v>1</v>
      </c>
      <c r="K463" s="2">
        <v>44.99</v>
      </c>
      <c r="L463" t="s">
        <v>17</v>
      </c>
      <c r="M463" t="s">
        <v>26</v>
      </c>
      <c r="N463">
        <v>1.9</v>
      </c>
    </row>
    <row r="464" spans="1:14">
      <c r="A464">
        <v>463</v>
      </c>
      <c r="B464" s="1">
        <v>45026</v>
      </c>
      <c r="C464">
        <v>187</v>
      </c>
      <c r="D464" t="s">
        <v>19</v>
      </c>
      <c r="E464">
        <v>31</v>
      </c>
      <c r="F464" t="str" cm="1">
        <f t="array" ref="F464">_xlfn.IFS(E464&lt;18, "0-17",
     E464&lt;25, "18-24",
     E464&lt;35, "25-34",
     E464&lt;45, "35-44",
     E464&lt;55, "45-54",
     E464&lt;65, "55-64",
     TRUE, "65+")</f>
        <v>25-34</v>
      </c>
      <c r="G464" t="s">
        <v>15</v>
      </c>
      <c r="H464" t="s">
        <v>16</v>
      </c>
      <c r="I464" s="2">
        <v>54.99</v>
      </c>
      <c r="J464">
        <v>2</v>
      </c>
      <c r="K464" s="2">
        <v>109.98</v>
      </c>
      <c r="L464" t="s">
        <v>17</v>
      </c>
      <c r="M464" t="s">
        <v>18</v>
      </c>
      <c r="N464">
        <v>2.1</v>
      </c>
    </row>
    <row r="465" spans="1:14">
      <c r="A465">
        <v>464</v>
      </c>
      <c r="B465" s="1">
        <v>45028</v>
      </c>
      <c r="C465">
        <v>158</v>
      </c>
      <c r="D465" t="s">
        <v>14</v>
      </c>
      <c r="E465">
        <v>64</v>
      </c>
      <c r="F465" t="str" cm="1">
        <f t="array" ref="F465">_xlfn.IFS(E465&lt;18, "0-17",
     E465&lt;25, "18-24",
     E465&lt;35, "25-34",
     E465&lt;45, "35-44",
     E465&lt;55, "45-54",
     E465&lt;65, "55-64",
     TRUE, "65+")</f>
        <v>55-64</v>
      </c>
      <c r="G465" t="s">
        <v>23</v>
      </c>
      <c r="H465" t="s">
        <v>45</v>
      </c>
      <c r="I465" s="2">
        <v>65.989999999999995</v>
      </c>
      <c r="J465">
        <v>1</v>
      </c>
      <c r="K465" s="2">
        <v>65.989999999999995</v>
      </c>
      <c r="L465" t="s">
        <v>17</v>
      </c>
      <c r="M465" t="s">
        <v>18</v>
      </c>
      <c r="N465">
        <v>2.2000000000000002</v>
      </c>
    </row>
    <row r="466" spans="1:14">
      <c r="A466">
        <v>465</v>
      </c>
      <c r="B466" s="1">
        <v>45031</v>
      </c>
      <c r="C466">
        <v>152</v>
      </c>
      <c r="D466" t="s">
        <v>19</v>
      </c>
      <c r="E466">
        <v>52</v>
      </c>
      <c r="F466" t="str" cm="1">
        <f t="array" ref="F466">_xlfn.IFS(E466&lt;18, "0-17",
     E466&lt;25, "18-24",
     E466&lt;35, "25-34",
     E466&lt;45, "35-44",
     E466&lt;55, "45-54",
     E466&lt;65, "55-64",
     TRUE, "65+")</f>
        <v>45-54</v>
      </c>
      <c r="G466" t="s">
        <v>28</v>
      </c>
      <c r="H466" t="s">
        <v>50</v>
      </c>
      <c r="I466" s="2">
        <v>51.99</v>
      </c>
      <c r="J466">
        <v>1</v>
      </c>
      <c r="K466" s="2">
        <v>51.99</v>
      </c>
      <c r="L466" t="s">
        <v>17</v>
      </c>
      <c r="M466" t="s">
        <v>18</v>
      </c>
      <c r="N466">
        <v>5.6</v>
      </c>
    </row>
    <row r="467" spans="1:14">
      <c r="A467">
        <v>466</v>
      </c>
      <c r="B467" s="1">
        <v>45034</v>
      </c>
      <c r="C467">
        <v>144</v>
      </c>
      <c r="D467" t="s">
        <v>14</v>
      </c>
      <c r="E467">
        <v>38</v>
      </c>
      <c r="F467" t="str" cm="1">
        <f t="array" ref="F467">_xlfn.IFS(E467&lt;18, "0-17",
     E467&lt;25, "18-24",
     E467&lt;35, "25-34",
     E467&lt;45, "35-44",
     E467&lt;55, "45-54",
     E467&lt;65, "55-64",
     TRUE, "65+")</f>
        <v>35-44</v>
      </c>
      <c r="G467" t="s">
        <v>20</v>
      </c>
      <c r="H467" t="s">
        <v>32</v>
      </c>
      <c r="I467" s="2">
        <v>59.99</v>
      </c>
      <c r="J467">
        <v>2</v>
      </c>
      <c r="K467" s="2">
        <v>119.98</v>
      </c>
      <c r="L467" t="s">
        <v>17</v>
      </c>
      <c r="M467" t="s">
        <v>18</v>
      </c>
      <c r="N467">
        <v>4.9000000000000004</v>
      </c>
    </row>
    <row r="468" spans="1:14">
      <c r="A468">
        <v>467</v>
      </c>
      <c r="B468" s="1">
        <v>45036</v>
      </c>
      <c r="C468">
        <v>112</v>
      </c>
      <c r="D468" t="s">
        <v>19</v>
      </c>
      <c r="E468">
        <v>45</v>
      </c>
      <c r="F468" t="str" cm="1">
        <f t="array" ref="F468">_xlfn.IFS(E468&lt;18, "0-17",
     E468&lt;25, "18-24",
     E468&lt;35, "25-34",
     E468&lt;45, "35-44",
     E468&lt;55, "45-54",
     E468&lt;65, "55-64",
     TRUE, "65+")</f>
        <v>45-54</v>
      </c>
      <c r="G468" t="s">
        <v>15</v>
      </c>
      <c r="H468" t="s">
        <v>30</v>
      </c>
      <c r="I468" s="2">
        <v>12.99</v>
      </c>
      <c r="J468">
        <v>4</v>
      </c>
      <c r="K468" s="2">
        <v>51.96</v>
      </c>
      <c r="L468" t="s">
        <v>31</v>
      </c>
      <c r="M468" t="s">
        <v>18</v>
      </c>
      <c r="N468">
        <v>8.6999999999999993</v>
      </c>
    </row>
    <row r="469" spans="1:14">
      <c r="A469">
        <v>468</v>
      </c>
      <c r="B469" s="1">
        <v>45038</v>
      </c>
      <c r="C469">
        <v>157</v>
      </c>
      <c r="D469" t="s">
        <v>14</v>
      </c>
      <c r="E469">
        <v>53</v>
      </c>
      <c r="F469" t="str" cm="1">
        <f t="array" ref="F469">_xlfn.IFS(E469&lt;18, "0-17",
     E469&lt;25, "18-24",
     E469&lt;35, "25-34",
     E469&lt;45, "35-44",
     E469&lt;55, "45-54",
     E469&lt;65, "55-64",
     TRUE, "65+")</f>
        <v>45-54</v>
      </c>
      <c r="G469" t="s">
        <v>23</v>
      </c>
      <c r="H469" t="s">
        <v>33</v>
      </c>
      <c r="I469" s="2">
        <v>44.99</v>
      </c>
      <c r="J469">
        <v>3</v>
      </c>
      <c r="K469" s="2">
        <v>134.97</v>
      </c>
      <c r="L469" t="s">
        <v>17</v>
      </c>
      <c r="M469" t="s">
        <v>26</v>
      </c>
      <c r="N469">
        <v>3.3</v>
      </c>
    </row>
    <row r="470" spans="1:14">
      <c r="A470">
        <v>469</v>
      </c>
      <c r="B470" s="1">
        <v>45041</v>
      </c>
      <c r="C470">
        <v>199</v>
      </c>
      <c r="D470" t="s">
        <v>19</v>
      </c>
      <c r="E470">
        <v>41</v>
      </c>
      <c r="F470" t="str" cm="1">
        <f t="array" ref="F470">_xlfn.IFS(E470&lt;18, "0-17",
     E470&lt;25, "18-24",
     E470&lt;35, "25-34",
     E470&lt;45, "35-44",
     E470&lt;55, "45-54",
     E470&lt;65, "55-64",
     TRUE, "65+")</f>
        <v>35-44</v>
      </c>
      <c r="G470" t="s">
        <v>28</v>
      </c>
      <c r="H470" t="s">
        <v>39</v>
      </c>
      <c r="I470" s="2">
        <v>8.99</v>
      </c>
      <c r="J470">
        <v>3</v>
      </c>
      <c r="K470" s="2">
        <v>26.97</v>
      </c>
      <c r="L470" t="s">
        <v>17</v>
      </c>
      <c r="M470" t="s">
        <v>18</v>
      </c>
      <c r="N470">
        <v>1.9</v>
      </c>
    </row>
    <row r="471" spans="1:14">
      <c r="A471">
        <v>470</v>
      </c>
      <c r="B471" s="1">
        <v>45044</v>
      </c>
      <c r="C471">
        <v>113</v>
      </c>
      <c r="D471" t="s">
        <v>14</v>
      </c>
      <c r="E471">
        <v>27</v>
      </c>
      <c r="F471" t="str" cm="1">
        <f t="array" ref="F471">_xlfn.IFS(E471&lt;18, "0-17",
     E471&lt;25, "18-24",
     E471&lt;35, "25-34",
     E471&lt;45, "35-44",
     E471&lt;55, "45-54",
     E471&lt;65, "55-64",
     TRUE, "65+")</f>
        <v>25-34</v>
      </c>
      <c r="G471" t="s">
        <v>20</v>
      </c>
      <c r="H471" t="s">
        <v>47</v>
      </c>
      <c r="I471" s="2">
        <v>17.989999999999998</v>
      </c>
      <c r="J471">
        <v>2</v>
      </c>
      <c r="K471" s="2">
        <v>35.979999999999997</v>
      </c>
      <c r="L471" t="s">
        <v>17</v>
      </c>
      <c r="M471" t="s">
        <v>18</v>
      </c>
      <c r="N471">
        <v>0.5</v>
      </c>
    </row>
    <row r="472" spans="1:14">
      <c r="A472">
        <v>471</v>
      </c>
      <c r="B472" s="1">
        <v>45046</v>
      </c>
      <c r="C472">
        <v>135</v>
      </c>
      <c r="D472" t="s">
        <v>19</v>
      </c>
      <c r="E472">
        <v>58</v>
      </c>
      <c r="F472" t="str" cm="1">
        <f t="array" ref="F472">_xlfn.IFS(E472&lt;18, "0-17",
     E472&lt;25, "18-24",
     E472&lt;35, "25-34",
     E472&lt;45, "35-44",
     E472&lt;55, "45-54",
     E472&lt;65, "55-64",
     TRUE, "65+")</f>
        <v>55-64</v>
      </c>
      <c r="G472" t="s">
        <v>15</v>
      </c>
      <c r="H472" t="s">
        <v>34</v>
      </c>
      <c r="I472" s="2">
        <v>18.989999999999998</v>
      </c>
      <c r="J472">
        <v>2</v>
      </c>
      <c r="K472" s="2">
        <v>37.979999999999997</v>
      </c>
      <c r="L472" t="s">
        <v>17</v>
      </c>
      <c r="M472" t="s">
        <v>18</v>
      </c>
      <c r="N472">
        <v>8</v>
      </c>
    </row>
    <row r="473" spans="1:14">
      <c r="A473">
        <v>472</v>
      </c>
      <c r="B473" s="1">
        <v>45049</v>
      </c>
      <c r="C473">
        <v>151</v>
      </c>
      <c r="D473" t="s">
        <v>14</v>
      </c>
      <c r="E473">
        <v>46</v>
      </c>
      <c r="F473" t="str" cm="1">
        <f t="array" ref="F473">_xlfn.IFS(E473&lt;18, "0-17",
     E473&lt;25, "18-24",
     E473&lt;35, "25-34",
     E473&lt;45, "35-44",
     E473&lt;55, "45-54",
     E473&lt;65, "55-64",
     TRUE, "65+")</f>
        <v>45-54</v>
      </c>
      <c r="G473" t="s">
        <v>23</v>
      </c>
      <c r="H473" t="s">
        <v>24</v>
      </c>
      <c r="I473" s="2">
        <v>32.99</v>
      </c>
      <c r="J473">
        <v>2</v>
      </c>
      <c r="K473" s="2">
        <v>65.98</v>
      </c>
      <c r="L473" t="s">
        <v>17</v>
      </c>
      <c r="M473" t="s">
        <v>18</v>
      </c>
      <c r="N473">
        <v>1.6</v>
      </c>
    </row>
    <row r="474" spans="1:14">
      <c r="A474">
        <v>473</v>
      </c>
      <c r="B474" s="1">
        <v>45052</v>
      </c>
      <c r="C474">
        <v>132</v>
      </c>
      <c r="D474" t="s">
        <v>19</v>
      </c>
      <c r="E474">
        <v>37</v>
      </c>
      <c r="F474" t="str" cm="1">
        <f t="array" ref="F474">_xlfn.IFS(E474&lt;18, "0-17",
     E474&lt;25, "18-24",
     E474&lt;35, "25-34",
     E474&lt;45, "35-44",
     E474&lt;55, "45-54",
     E474&lt;65, "55-64",
     TRUE, "65+")</f>
        <v>35-44</v>
      </c>
      <c r="G474" t="s">
        <v>28</v>
      </c>
      <c r="H474" t="s">
        <v>29</v>
      </c>
      <c r="I474" s="2">
        <v>44.99</v>
      </c>
      <c r="J474">
        <v>2</v>
      </c>
      <c r="K474" s="2">
        <v>89.98</v>
      </c>
      <c r="L474" t="s">
        <v>22</v>
      </c>
      <c r="M474" t="s">
        <v>18</v>
      </c>
      <c r="N474">
        <v>9.4</v>
      </c>
    </row>
    <row r="475" spans="1:14">
      <c r="A475">
        <v>474</v>
      </c>
      <c r="B475" s="1">
        <v>45054</v>
      </c>
      <c r="C475">
        <v>109</v>
      </c>
      <c r="D475" t="s">
        <v>14</v>
      </c>
      <c r="E475">
        <v>50</v>
      </c>
      <c r="F475" t="str" cm="1">
        <f t="array" ref="F475">_xlfn.IFS(E475&lt;18, "0-17",
     E475&lt;25, "18-24",
     E475&lt;35, "25-34",
     E475&lt;45, "35-44",
     E475&lt;55, "45-54",
     E475&lt;65, "55-64",
     TRUE, "65+")</f>
        <v>45-54</v>
      </c>
      <c r="G475" t="s">
        <v>20</v>
      </c>
      <c r="H475" t="s">
        <v>44</v>
      </c>
      <c r="I475" s="2">
        <v>10.99</v>
      </c>
      <c r="J475">
        <v>4</v>
      </c>
      <c r="K475" s="2">
        <v>43.96</v>
      </c>
      <c r="L475" t="s">
        <v>17</v>
      </c>
      <c r="M475" t="s">
        <v>26</v>
      </c>
      <c r="N475">
        <v>0.3</v>
      </c>
    </row>
    <row r="476" spans="1:14">
      <c r="A476">
        <v>475</v>
      </c>
      <c r="B476" s="1">
        <v>45056</v>
      </c>
      <c r="C476">
        <v>133</v>
      </c>
      <c r="D476" t="s">
        <v>19</v>
      </c>
      <c r="E476">
        <v>32</v>
      </c>
      <c r="F476" t="str" cm="1">
        <f t="array" ref="F476">_xlfn.IFS(E476&lt;18, "0-17",
     E476&lt;25, "18-24",
     E476&lt;35, "25-34",
     E476&lt;45, "35-44",
     E476&lt;55, "45-54",
     E476&lt;65, "55-64",
     TRUE, "65+")</f>
        <v>25-34</v>
      </c>
      <c r="G476" t="s">
        <v>15</v>
      </c>
      <c r="H476" t="s">
        <v>46</v>
      </c>
      <c r="I476" s="2">
        <v>89.99</v>
      </c>
      <c r="J476">
        <v>1</v>
      </c>
      <c r="K476" s="2">
        <v>89.99</v>
      </c>
      <c r="L476" t="s">
        <v>17</v>
      </c>
      <c r="M476" t="s">
        <v>18</v>
      </c>
      <c r="N476">
        <v>5.3</v>
      </c>
    </row>
    <row r="477" spans="1:14">
      <c r="A477">
        <v>476</v>
      </c>
      <c r="B477" s="1">
        <v>45059</v>
      </c>
      <c r="C477">
        <v>197</v>
      </c>
      <c r="D477" t="s">
        <v>14</v>
      </c>
      <c r="E477">
        <v>29</v>
      </c>
      <c r="F477" t="str" cm="1">
        <f t="array" ref="F477">_xlfn.IFS(E477&lt;18, "0-17",
     E477&lt;25, "18-24",
     E477&lt;35, "25-34",
     E477&lt;45, "35-44",
     E477&lt;55, "45-54",
     E477&lt;65, "55-64",
     TRUE, "65+")</f>
        <v>25-34</v>
      </c>
      <c r="G477" t="s">
        <v>23</v>
      </c>
      <c r="H477" t="s">
        <v>41</v>
      </c>
      <c r="I477" s="2">
        <v>129.99</v>
      </c>
      <c r="J477">
        <v>2</v>
      </c>
      <c r="K477" s="2">
        <v>259.98</v>
      </c>
      <c r="L477" t="s">
        <v>17</v>
      </c>
      <c r="M477" t="s">
        <v>18</v>
      </c>
      <c r="N477">
        <v>8.6</v>
      </c>
    </row>
    <row r="478" spans="1:14">
      <c r="A478">
        <v>477</v>
      </c>
      <c r="B478" s="1">
        <v>45061</v>
      </c>
      <c r="C478">
        <v>106</v>
      </c>
      <c r="D478" t="s">
        <v>19</v>
      </c>
      <c r="E478">
        <v>60</v>
      </c>
      <c r="F478" t="str" cm="1">
        <f t="array" ref="F478">_xlfn.IFS(E478&lt;18, "0-17",
     E478&lt;25, "18-24",
     E478&lt;35, "25-34",
     E478&lt;45, "35-44",
     E478&lt;55, "45-54",
     E478&lt;65, "55-64",
     TRUE, "65+")</f>
        <v>55-64</v>
      </c>
      <c r="G478" t="s">
        <v>28</v>
      </c>
      <c r="H478" t="s">
        <v>35</v>
      </c>
      <c r="I478" s="2">
        <v>18.989999999999998</v>
      </c>
      <c r="J478">
        <v>2</v>
      </c>
      <c r="K478" s="2">
        <v>37.979999999999997</v>
      </c>
      <c r="L478" t="s">
        <v>17</v>
      </c>
      <c r="M478" t="s">
        <v>18</v>
      </c>
      <c r="N478">
        <v>5.9</v>
      </c>
    </row>
    <row r="479" spans="1:14">
      <c r="A479">
        <v>478</v>
      </c>
      <c r="B479" s="1">
        <v>45064</v>
      </c>
      <c r="C479">
        <v>186</v>
      </c>
      <c r="D479" t="s">
        <v>14</v>
      </c>
      <c r="E479">
        <v>44</v>
      </c>
      <c r="F479" t="str" cm="1">
        <f t="array" ref="F479">_xlfn.IFS(E479&lt;18, "0-17",
     E479&lt;25, "18-24",
     E479&lt;35, "25-34",
     E479&lt;45, "35-44",
     E479&lt;55, "45-54",
     E479&lt;65, "55-64",
     TRUE, "65+")</f>
        <v>35-44</v>
      </c>
      <c r="G479" t="s">
        <v>20</v>
      </c>
      <c r="H479" t="s">
        <v>32</v>
      </c>
      <c r="I479" s="2">
        <v>64.989999999999995</v>
      </c>
      <c r="J479">
        <v>1</v>
      </c>
      <c r="K479" s="2">
        <v>64.989999999999995</v>
      </c>
      <c r="L479" t="s">
        <v>17</v>
      </c>
      <c r="M479" t="s">
        <v>18</v>
      </c>
      <c r="N479">
        <v>6.6</v>
      </c>
    </row>
    <row r="480" spans="1:14">
      <c r="A480">
        <v>479</v>
      </c>
      <c r="B480" s="1">
        <v>45066</v>
      </c>
      <c r="C480">
        <v>196</v>
      </c>
      <c r="D480" t="s">
        <v>19</v>
      </c>
      <c r="E480">
        <v>35</v>
      </c>
      <c r="F480" t="str" cm="1">
        <f t="array" ref="F480">_xlfn.IFS(E480&lt;18, "0-17",
     E480&lt;25, "18-24",
     E480&lt;35, "25-34",
     E480&lt;45, "35-44",
     E480&lt;55, "45-54",
     E480&lt;65, "55-64",
     TRUE, "65+")</f>
        <v>35-44</v>
      </c>
      <c r="G480" t="s">
        <v>15</v>
      </c>
      <c r="H480" t="s">
        <v>42</v>
      </c>
      <c r="I480" s="2">
        <v>219.99</v>
      </c>
      <c r="J480">
        <v>1</v>
      </c>
      <c r="K480" s="2">
        <v>219.99</v>
      </c>
      <c r="L480" t="s">
        <v>17</v>
      </c>
      <c r="M480" t="s">
        <v>26</v>
      </c>
      <c r="N480">
        <v>2.2000000000000002</v>
      </c>
    </row>
    <row r="481" spans="1:14">
      <c r="A481">
        <v>480</v>
      </c>
      <c r="B481" s="1">
        <v>45068</v>
      </c>
      <c r="C481">
        <v>111</v>
      </c>
      <c r="D481" t="s">
        <v>14</v>
      </c>
      <c r="E481">
        <v>55</v>
      </c>
      <c r="F481" t="str" cm="1">
        <f t="array" ref="F481">_xlfn.IFS(E481&lt;18, "0-17",
     E481&lt;25, "18-24",
     E481&lt;35, "25-34",
     E481&lt;45, "35-44",
     E481&lt;55, "45-54",
     E481&lt;65, "55-64",
     TRUE, "65+")</f>
        <v>55-64</v>
      </c>
      <c r="G481" t="s">
        <v>23</v>
      </c>
      <c r="H481" t="s">
        <v>49</v>
      </c>
      <c r="I481" s="2">
        <v>29.99</v>
      </c>
      <c r="J481">
        <v>2</v>
      </c>
      <c r="K481" s="2">
        <v>59.98</v>
      </c>
      <c r="L481" t="s">
        <v>25</v>
      </c>
      <c r="M481" t="s">
        <v>18</v>
      </c>
      <c r="N481">
        <v>1.9</v>
      </c>
    </row>
    <row r="482" spans="1:14">
      <c r="A482">
        <v>481</v>
      </c>
      <c r="B482" s="1">
        <v>45071</v>
      </c>
      <c r="C482">
        <v>166</v>
      </c>
      <c r="D482" t="s">
        <v>19</v>
      </c>
      <c r="E482">
        <v>46</v>
      </c>
      <c r="F482" t="str" cm="1">
        <f t="array" ref="F482">_xlfn.IFS(E482&lt;18, "0-17",
     E482&lt;25, "18-24",
     E482&lt;35, "25-34",
     E482&lt;45, "35-44",
     E482&lt;55, "45-54",
     E482&lt;65, "55-64",
     TRUE, "65+")</f>
        <v>45-54</v>
      </c>
      <c r="G482" t="s">
        <v>28</v>
      </c>
      <c r="H482" t="s">
        <v>43</v>
      </c>
      <c r="I482" s="2">
        <v>13.99</v>
      </c>
      <c r="J482">
        <v>4</v>
      </c>
      <c r="K482" s="2">
        <v>55.96</v>
      </c>
      <c r="L482" t="s">
        <v>17</v>
      </c>
      <c r="M482" t="s">
        <v>18</v>
      </c>
      <c r="N482">
        <v>4.9000000000000004</v>
      </c>
    </row>
    <row r="483" spans="1:14">
      <c r="A483">
        <v>482</v>
      </c>
      <c r="B483" s="1">
        <v>45074</v>
      </c>
      <c r="C483">
        <v>126</v>
      </c>
      <c r="D483" t="s">
        <v>14</v>
      </c>
      <c r="E483">
        <v>33</v>
      </c>
      <c r="F483" t="str" cm="1">
        <f t="array" ref="F483">_xlfn.IFS(E483&lt;18, "0-17",
     E483&lt;25, "18-24",
     E483&lt;35, "25-34",
     E483&lt;45, "35-44",
     E483&lt;55, "45-54",
     E483&lt;65, "55-64",
     TRUE, "65+")</f>
        <v>25-34</v>
      </c>
      <c r="G483" t="s">
        <v>20</v>
      </c>
      <c r="H483" t="s">
        <v>21</v>
      </c>
      <c r="I483" s="2">
        <v>49.99</v>
      </c>
      <c r="J483">
        <v>2</v>
      </c>
      <c r="K483" s="2">
        <v>99.98</v>
      </c>
      <c r="L483" t="s">
        <v>17</v>
      </c>
      <c r="M483" t="s">
        <v>18</v>
      </c>
      <c r="N483">
        <v>3.1</v>
      </c>
    </row>
    <row r="484" spans="1:14">
      <c r="A484">
        <v>483</v>
      </c>
      <c r="B484" s="1">
        <v>45076</v>
      </c>
      <c r="C484">
        <v>168</v>
      </c>
      <c r="D484" t="s">
        <v>19</v>
      </c>
      <c r="E484">
        <v>51</v>
      </c>
      <c r="F484" t="str" cm="1">
        <f t="array" ref="F484">_xlfn.IFS(E484&lt;18, "0-17",
     E484&lt;25, "18-24",
     E484&lt;35, "25-34",
     E484&lt;45, "35-44",
     E484&lt;55, "45-54",
     E484&lt;65, "55-64",
     TRUE, "65+")</f>
        <v>45-54</v>
      </c>
      <c r="G484" t="s">
        <v>15</v>
      </c>
      <c r="H484" t="s">
        <v>38</v>
      </c>
      <c r="I484" s="2">
        <v>89.99</v>
      </c>
      <c r="J484">
        <v>1</v>
      </c>
      <c r="K484" s="2">
        <v>89.99</v>
      </c>
      <c r="L484" t="s">
        <v>17</v>
      </c>
      <c r="M484" t="s">
        <v>18</v>
      </c>
      <c r="N484">
        <v>3.1</v>
      </c>
    </row>
    <row r="485" spans="1:14">
      <c r="A485">
        <v>484</v>
      </c>
      <c r="B485" s="1">
        <v>45079</v>
      </c>
      <c r="C485">
        <v>180</v>
      </c>
      <c r="D485" t="s">
        <v>14</v>
      </c>
      <c r="E485">
        <v>58</v>
      </c>
      <c r="F485" t="str" cm="1">
        <f t="array" ref="F485">_xlfn.IFS(E485&lt;18, "0-17",
     E485&lt;25, "18-24",
     E485&lt;35, "25-34",
     E485&lt;45, "35-44",
     E485&lt;55, "45-54",
     E485&lt;65, "55-64",
     TRUE, "65+")</f>
        <v>55-64</v>
      </c>
      <c r="G485" t="s">
        <v>23</v>
      </c>
      <c r="H485" t="s">
        <v>37</v>
      </c>
      <c r="I485" s="2">
        <v>24.99</v>
      </c>
      <c r="J485">
        <v>3</v>
      </c>
      <c r="K485" s="2">
        <v>74.97</v>
      </c>
      <c r="L485" t="s">
        <v>17</v>
      </c>
      <c r="M485" t="s">
        <v>18</v>
      </c>
      <c r="N485">
        <v>5.9</v>
      </c>
    </row>
    <row r="486" spans="1:14">
      <c r="A486">
        <v>485</v>
      </c>
      <c r="B486" s="1">
        <v>45082</v>
      </c>
      <c r="C486">
        <v>166</v>
      </c>
      <c r="D486" t="s">
        <v>19</v>
      </c>
      <c r="E486">
        <v>39</v>
      </c>
      <c r="F486" t="str" cm="1">
        <f t="array" ref="F486">_xlfn.IFS(E486&lt;18, "0-17",
     E486&lt;25, "18-24",
     E486&lt;35, "25-34",
     E486&lt;45, "35-44",
     E486&lt;55, "45-54",
     E486&lt;65, "55-64",
     TRUE, "65+")</f>
        <v>35-44</v>
      </c>
      <c r="G486" t="s">
        <v>28</v>
      </c>
      <c r="H486" t="s">
        <v>50</v>
      </c>
      <c r="I486" s="2">
        <v>49.99</v>
      </c>
      <c r="J486">
        <v>2</v>
      </c>
      <c r="K486" s="2">
        <v>99.98</v>
      </c>
      <c r="L486" t="s">
        <v>22</v>
      </c>
      <c r="M486" t="s">
        <v>18</v>
      </c>
      <c r="N486">
        <v>4.9000000000000004</v>
      </c>
    </row>
    <row r="487" spans="1:14">
      <c r="A487">
        <v>486</v>
      </c>
      <c r="B487" s="1">
        <v>45085</v>
      </c>
      <c r="C487">
        <v>126</v>
      </c>
      <c r="D487" t="s">
        <v>14</v>
      </c>
      <c r="E487">
        <v>30</v>
      </c>
      <c r="F487" t="str" cm="1">
        <f t="array" ref="F487">_xlfn.IFS(E487&lt;18, "0-17",
     E487&lt;25, "18-24",
     E487&lt;35, "25-34",
     E487&lt;45, "35-44",
     E487&lt;55, "45-54",
     E487&lt;65, "55-64",
     TRUE, "65+")</f>
        <v>25-34</v>
      </c>
      <c r="G487" t="s">
        <v>20</v>
      </c>
      <c r="H487" t="s">
        <v>36</v>
      </c>
      <c r="I487" s="2">
        <v>84.99</v>
      </c>
      <c r="J487">
        <v>1</v>
      </c>
      <c r="K487" s="2">
        <v>84.99</v>
      </c>
      <c r="L487" t="s">
        <v>17</v>
      </c>
      <c r="M487" t="s">
        <v>26</v>
      </c>
      <c r="N487">
        <v>3.1</v>
      </c>
    </row>
    <row r="488" spans="1:14">
      <c r="A488">
        <v>487</v>
      </c>
      <c r="B488" s="1">
        <v>45087</v>
      </c>
      <c r="C488">
        <v>112</v>
      </c>
      <c r="D488" t="s">
        <v>19</v>
      </c>
      <c r="E488">
        <v>48</v>
      </c>
      <c r="F488" t="str" cm="1">
        <f t="array" ref="F488">_xlfn.IFS(E488&lt;18, "0-17",
     E488&lt;25, "18-24",
     E488&lt;35, "25-34",
     E488&lt;45, "35-44",
     E488&lt;55, "45-54",
     E488&lt;65, "55-64",
     TRUE, "65+")</f>
        <v>45-54</v>
      </c>
      <c r="G488" t="s">
        <v>15</v>
      </c>
      <c r="H488" t="s">
        <v>16</v>
      </c>
      <c r="I488" s="2">
        <v>59.99</v>
      </c>
      <c r="J488">
        <v>2</v>
      </c>
      <c r="K488" s="2">
        <v>119.98</v>
      </c>
      <c r="L488" t="s">
        <v>17</v>
      </c>
      <c r="M488" t="s">
        <v>18</v>
      </c>
      <c r="N488">
        <v>8.6999999999999993</v>
      </c>
    </row>
    <row r="489" spans="1:14">
      <c r="A489">
        <v>488</v>
      </c>
      <c r="B489" s="1">
        <v>45089</v>
      </c>
      <c r="C489">
        <v>105</v>
      </c>
      <c r="D489" t="s">
        <v>14</v>
      </c>
      <c r="E489">
        <v>43</v>
      </c>
      <c r="F489" t="str" cm="1">
        <f t="array" ref="F489">_xlfn.IFS(E489&lt;18, "0-17",
     E489&lt;25, "18-24",
     E489&lt;35, "25-34",
     E489&lt;45, "35-44",
     E489&lt;55, "45-54",
     E489&lt;65, "55-64",
     TRUE, "65+")</f>
        <v>35-44</v>
      </c>
      <c r="G489" t="s">
        <v>23</v>
      </c>
      <c r="H489" t="s">
        <v>45</v>
      </c>
      <c r="I489" s="2">
        <v>55.99</v>
      </c>
      <c r="J489">
        <v>2</v>
      </c>
      <c r="K489" s="2">
        <v>111.98</v>
      </c>
      <c r="L489" t="s">
        <v>17</v>
      </c>
      <c r="M489" t="s">
        <v>18</v>
      </c>
      <c r="N489">
        <v>3.7</v>
      </c>
    </row>
    <row r="490" spans="1:14">
      <c r="A490">
        <v>489</v>
      </c>
      <c r="B490" s="1">
        <v>45092</v>
      </c>
      <c r="C490">
        <v>159</v>
      </c>
      <c r="D490" t="s">
        <v>19</v>
      </c>
      <c r="E490">
        <v>38</v>
      </c>
      <c r="F490" t="str" cm="1">
        <f t="array" ref="F490">_xlfn.IFS(E490&lt;18, "0-17",
     E490&lt;25, "18-24",
     E490&lt;35, "25-34",
     E490&lt;45, "35-44",
     E490&lt;55, "45-54",
     E490&lt;65, "55-64",
     TRUE, "65+")</f>
        <v>35-44</v>
      </c>
      <c r="G490" t="s">
        <v>28</v>
      </c>
      <c r="H490" t="s">
        <v>39</v>
      </c>
      <c r="I490" s="2">
        <v>7.99</v>
      </c>
      <c r="J490">
        <v>4</v>
      </c>
      <c r="K490" s="2">
        <v>31.96</v>
      </c>
      <c r="L490" t="s">
        <v>17</v>
      </c>
      <c r="M490" t="s">
        <v>18</v>
      </c>
      <c r="N490">
        <v>2.5</v>
      </c>
    </row>
    <row r="491" spans="1:14">
      <c r="A491">
        <v>490</v>
      </c>
      <c r="B491" s="1">
        <v>45095</v>
      </c>
      <c r="C491">
        <v>132</v>
      </c>
      <c r="D491" t="s">
        <v>14</v>
      </c>
      <c r="E491">
        <v>56</v>
      </c>
      <c r="F491" t="str" cm="1">
        <f t="array" ref="F491">_xlfn.IFS(E491&lt;18, "0-17",
     E491&lt;25, "18-24",
     E491&lt;35, "25-34",
     E491&lt;45, "35-44",
     E491&lt;55, "45-54",
     E491&lt;65, "55-64",
     TRUE, "65+")</f>
        <v>55-64</v>
      </c>
      <c r="G491" t="s">
        <v>20</v>
      </c>
      <c r="H491" t="s">
        <v>44</v>
      </c>
      <c r="I491" s="2">
        <v>11.99</v>
      </c>
      <c r="J491">
        <v>5</v>
      </c>
      <c r="K491" s="2">
        <v>59.95</v>
      </c>
      <c r="L491" t="s">
        <v>31</v>
      </c>
      <c r="M491" t="s">
        <v>18</v>
      </c>
      <c r="N491">
        <v>9.4</v>
      </c>
    </row>
    <row r="492" spans="1:14">
      <c r="A492">
        <v>491</v>
      </c>
      <c r="B492" s="1">
        <v>45097</v>
      </c>
      <c r="C492">
        <v>109</v>
      </c>
      <c r="D492" t="s">
        <v>19</v>
      </c>
      <c r="E492">
        <v>33</v>
      </c>
      <c r="F492" t="str" cm="1">
        <f t="array" ref="F492">_xlfn.IFS(E492&lt;18, "0-17",
     E492&lt;25, "18-24",
     E492&lt;35, "25-34",
     E492&lt;45, "35-44",
     E492&lt;55, "45-54",
     E492&lt;65, "55-64",
     TRUE, "65+")</f>
        <v>25-34</v>
      </c>
      <c r="G492" t="s">
        <v>15</v>
      </c>
      <c r="H492" t="s">
        <v>48</v>
      </c>
      <c r="I492" s="2">
        <v>29.99</v>
      </c>
      <c r="J492">
        <v>1</v>
      </c>
      <c r="K492" s="2">
        <v>29.99</v>
      </c>
      <c r="L492" t="s">
        <v>17</v>
      </c>
      <c r="M492" t="s">
        <v>26</v>
      </c>
      <c r="N492">
        <v>0.3</v>
      </c>
    </row>
    <row r="493" spans="1:14">
      <c r="A493">
        <v>492</v>
      </c>
      <c r="B493" s="1">
        <v>45099</v>
      </c>
      <c r="C493">
        <v>117</v>
      </c>
      <c r="D493" t="s">
        <v>14</v>
      </c>
      <c r="E493">
        <v>45</v>
      </c>
      <c r="F493" t="str" cm="1">
        <f t="array" ref="F493">_xlfn.IFS(E493&lt;18, "0-17",
     E493&lt;25, "18-24",
     E493&lt;35, "25-34",
     E493&lt;45, "35-44",
     E493&lt;55, "45-54",
     E493&lt;65, "55-64",
     TRUE, "65+")</f>
        <v>45-54</v>
      </c>
      <c r="G493" t="s">
        <v>23</v>
      </c>
      <c r="H493" t="s">
        <v>33</v>
      </c>
      <c r="I493" s="2">
        <v>39.99</v>
      </c>
      <c r="J493">
        <v>3</v>
      </c>
      <c r="K493" s="2">
        <v>119.97</v>
      </c>
      <c r="L493" t="s">
        <v>17</v>
      </c>
      <c r="M493" t="s">
        <v>18</v>
      </c>
      <c r="N493">
        <v>6.5</v>
      </c>
    </row>
    <row r="494" spans="1:14">
      <c r="A494">
        <v>493</v>
      </c>
      <c r="B494" s="1">
        <v>45102</v>
      </c>
      <c r="C494">
        <v>101</v>
      </c>
      <c r="D494" t="s">
        <v>19</v>
      </c>
      <c r="E494">
        <v>64</v>
      </c>
      <c r="F494" t="str" cm="1">
        <f t="array" ref="F494">_xlfn.IFS(E494&lt;18, "0-17",
     E494&lt;25, "18-24",
     E494&lt;35, "25-34",
     E494&lt;45, "35-44",
     E494&lt;55, "45-54",
     E494&lt;65, "55-64",
     TRUE, "65+")</f>
        <v>55-64</v>
      </c>
      <c r="G494" t="s">
        <v>28</v>
      </c>
      <c r="H494" t="s">
        <v>29</v>
      </c>
      <c r="I494" s="2">
        <v>38.99</v>
      </c>
      <c r="J494">
        <v>2</v>
      </c>
      <c r="K494" s="2">
        <v>77.98</v>
      </c>
      <c r="L494" t="s">
        <v>17</v>
      </c>
      <c r="M494" t="s">
        <v>18</v>
      </c>
      <c r="N494">
        <v>9.6999999999999993</v>
      </c>
    </row>
    <row r="495" spans="1:14">
      <c r="A495">
        <v>494</v>
      </c>
      <c r="B495" s="1">
        <v>45105</v>
      </c>
      <c r="C495">
        <v>126</v>
      </c>
      <c r="D495" t="s">
        <v>14</v>
      </c>
      <c r="E495">
        <v>29</v>
      </c>
      <c r="F495" t="str" cm="1">
        <f t="array" ref="F495">_xlfn.IFS(E495&lt;18, "0-17",
     E495&lt;25, "18-24",
     E495&lt;35, "25-34",
     E495&lt;45, "35-44",
     E495&lt;55, "45-54",
     E495&lt;65, "55-64",
     TRUE, "65+")</f>
        <v>25-34</v>
      </c>
      <c r="G495" t="s">
        <v>20</v>
      </c>
      <c r="H495" t="s">
        <v>32</v>
      </c>
      <c r="I495" s="2">
        <v>69.989999999999995</v>
      </c>
      <c r="J495">
        <v>2</v>
      </c>
      <c r="K495" s="2">
        <v>139.97999999999999</v>
      </c>
      <c r="L495" t="s">
        <v>17</v>
      </c>
      <c r="M495" t="s">
        <v>18</v>
      </c>
      <c r="N495">
        <v>3.1</v>
      </c>
    </row>
    <row r="496" spans="1:14">
      <c r="A496">
        <v>495</v>
      </c>
      <c r="B496" s="1">
        <v>45107</v>
      </c>
      <c r="C496">
        <v>160</v>
      </c>
      <c r="D496" t="s">
        <v>19</v>
      </c>
      <c r="E496">
        <v>42</v>
      </c>
      <c r="F496" t="str" cm="1">
        <f t="array" ref="F496">_xlfn.IFS(E496&lt;18, "0-17",
     E496&lt;25, "18-24",
     E496&lt;35, "25-34",
     E496&lt;45, "35-44",
     E496&lt;55, "45-54",
     E496&lt;65, "55-64",
     TRUE, "65+")</f>
        <v>35-44</v>
      </c>
      <c r="G496" t="s">
        <v>15</v>
      </c>
      <c r="H496" t="s">
        <v>34</v>
      </c>
      <c r="I496" s="2">
        <v>16.989999999999998</v>
      </c>
      <c r="J496">
        <v>4</v>
      </c>
      <c r="K496" s="2">
        <v>67.959999999999994</v>
      </c>
      <c r="L496" t="s">
        <v>17</v>
      </c>
      <c r="M496" t="s">
        <v>18</v>
      </c>
      <c r="N496">
        <v>5.6</v>
      </c>
    </row>
    <row r="497" spans="1:14">
      <c r="A497">
        <v>496</v>
      </c>
      <c r="B497" s="1">
        <v>45110</v>
      </c>
      <c r="C497">
        <v>115</v>
      </c>
      <c r="D497" t="s">
        <v>14</v>
      </c>
      <c r="E497">
        <v>57</v>
      </c>
      <c r="F497" t="str" cm="1">
        <f t="array" ref="F497">_xlfn.IFS(E497&lt;18, "0-17",
     E497&lt;25, "18-24",
     E497&lt;35, "25-34",
     E497&lt;45, "35-44",
     E497&lt;55, "45-54",
     E497&lt;65, "55-64",
     TRUE, "65+")</f>
        <v>55-64</v>
      </c>
      <c r="G497" t="s">
        <v>23</v>
      </c>
      <c r="H497" t="s">
        <v>24</v>
      </c>
      <c r="I497" s="2">
        <v>31.99</v>
      </c>
      <c r="J497">
        <v>3</v>
      </c>
      <c r="K497" s="2">
        <v>95.97</v>
      </c>
      <c r="L497" t="s">
        <v>22</v>
      </c>
      <c r="M497" t="s">
        <v>18</v>
      </c>
      <c r="N497">
        <v>0.1</v>
      </c>
    </row>
    <row r="498" spans="1:14">
      <c r="A498">
        <v>497</v>
      </c>
      <c r="B498" s="1">
        <v>45112</v>
      </c>
      <c r="C498">
        <v>166</v>
      </c>
      <c r="D498" t="s">
        <v>19</v>
      </c>
      <c r="E498">
        <v>44</v>
      </c>
      <c r="F498" t="str" cm="1">
        <f t="array" ref="F498">_xlfn.IFS(E498&lt;18, "0-17",
     E498&lt;25, "18-24",
     E498&lt;35, "25-34",
     E498&lt;45, "35-44",
     E498&lt;55, "45-54",
     E498&lt;65, "55-64",
     TRUE, "65+")</f>
        <v>35-44</v>
      </c>
      <c r="G498" t="s">
        <v>28</v>
      </c>
      <c r="H498" t="s">
        <v>35</v>
      </c>
      <c r="I498" s="2">
        <v>17.989999999999998</v>
      </c>
      <c r="J498">
        <v>2</v>
      </c>
      <c r="K498" s="2">
        <v>35.979999999999997</v>
      </c>
      <c r="L498" t="s">
        <v>17</v>
      </c>
      <c r="M498" t="s">
        <v>26</v>
      </c>
      <c r="N498">
        <v>4.9000000000000004</v>
      </c>
    </row>
    <row r="499" spans="1:14">
      <c r="A499">
        <v>498</v>
      </c>
      <c r="B499" s="1">
        <v>45115</v>
      </c>
      <c r="C499">
        <v>120</v>
      </c>
      <c r="D499" t="s">
        <v>14</v>
      </c>
      <c r="E499">
        <v>35</v>
      </c>
      <c r="F499" t="str" cm="1">
        <f t="array" ref="F499">_xlfn.IFS(E499&lt;18, "0-17",
     E499&lt;25, "18-24",
     E499&lt;35, "25-34",
     E499&lt;45, "35-44",
     E499&lt;55, "45-54",
     E499&lt;65, "55-64",
     TRUE, "65+")</f>
        <v>35-44</v>
      </c>
      <c r="G499" t="s">
        <v>20</v>
      </c>
      <c r="H499" t="s">
        <v>21</v>
      </c>
      <c r="I499" s="2">
        <v>44.99</v>
      </c>
      <c r="J499">
        <v>1</v>
      </c>
      <c r="K499" s="2">
        <v>44.99</v>
      </c>
      <c r="L499" t="s">
        <v>17</v>
      </c>
      <c r="M499" t="s">
        <v>18</v>
      </c>
      <c r="N499">
        <v>2.1</v>
      </c>
    </row>
    <row r="500" spans="1:14">
      <c r="A500">
        <v>499</v>
      </c>
      <c r="B500" s="1">
        <v>45117</v>
      </c>
      <c r="C500">
        <v>158</v>
      </c>
      <c r="D500" t="s">
        <v>19</v>
      </c>
      <c r="E500">
        <v>62</v>
      </c>
      <c r="F500" t="str" cm="1">
        <f t="array" ref="F500">_xlfn.IFS(E500&lt;18, "0-17",
     E500&lt;25, "18-24",
     E500&lt;35, "25-34",
     E500&lt;45, "35-44",
     E500&lt;55, "45-54",
     E500&lt;65, "55-64",
     TRUE, "65+")</f>
        <v>55-64</v>
      </c>
      <c r="G500" t="s">
        <v>15</v>
      </c>
      <c r="H500" t="s">
        <v>46</v>
      </c>
      <c r="I500" s="2">
        <v>79.989999999999995</v>
      </c>
      <c r="J500">
        <v>2</v>
      </c>
      <c r="K500" s="2">
        <v>159.97999999999999</v>
      </c>
      <c r="L500" t="s">
        <v>17</v>
      </c>
      <c r="M500" t="s">
        <v>18</v>
      </c>
      <c r="N500">
        <v>2.2000000000000002</v>
      </c>
    </row>
    <row r="501" spans="1:14">
      <c r="A501">
        <v>500</v>
      </c>
      <c r="B501" s="1">
        <v>45119</v>
      </c>
      <c r="C501">
        <v>113</v>
      </c>
      <c r="D501" t="s">
        <v>14</v>
      </c>
      <c r="E501">
        <v>26</v>
      </c>
      <c r="F501" t="str" cm="1">
        <f t="array" ref="F501">_xlfn.IFS(E501&lt;18, "0-17",
     E501&lt;25, "18-24",
     E501&lt;35, "25-34",
     E501&lt;45, "35-44",
     E501&lt;55, "45-54",
     E501&lt;65, "55-64",
     TRUE, "65+")</f>
        <v>25-34</v>
      </c>
      <c r="G501" t="s">
        <v>23</v>
      </c>
      <c r="H501" t="s">
        <v>37</v>
      </c>
      <c r="I501" s="2">
        <v>21.99</v>
      </c>
      <c r="J501">
        <v>4</v>
      </c>
      <c r="K501" s="2">
        <v>87.96</v>
      </c>
      <c r="L501" t="s">
        <v>17</v>
      </c>
      <c r="M501" t="s">
        <v>18</v>
      </c>
      <c r="N501">
        <v>0.5</v>
      </c>
    </row>
  </sheetData>
  <conditionalFormatting sqref="A2:N501">
    <cfRule type="containsBlanks" dxfId="0" priority="3">
      <formula>LEN(TRIM(A2))=0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2026-04-11T11:42:33Z</dcterms:created>
  <dcterms:modified xsi:type="dcterms:W3CDTF">2026-04-11T16:26:00Z</dcterms:modified>
  <cp:category/>
  <cp:contentStatus/>
</cp:coreProperties>
</file>